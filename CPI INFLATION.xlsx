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jarj\Desktop\Excel Projects\CPI\"/>
    </mc:Choice>
  </mc:AlternateContent>
  <xr:revisionPtr revIDLastSave="0" documentId="8_{5E6A1029-23D4-4258-9436-731EC5AC07D8}" xr6:coauthVersionLast="47" xr6:coauthVersionMax="47" xr10:uidLastSave="{00000000-0000-0000-0000-000000000000}"/>
  <bookViews>
    <workbookView xWindow="-110" yWindow="-110" windowWidth="19420" windowHeight="10300" firstSheet="3" activeTab="8" xr2:uid="{FED41288-54E6-4F3B-A853-F8753F71933B}"/>
  </bookViews>
  <sheets>
    <sheet name="Problem Statement" sheetId="28" r:id="rId1"/>
    <sheet name="Given CPI Data" sheetId="2" r:id="rId2"/>
    <sheet name="BROADER INDEX" sheetId="1" r:id="rId3"/>
    <sheet name="Problem 1" sheetId="8" r:id="rId4"/>
    <sheet name="Problem 2" sheetId="12" r:id="rId5"/>
    <sheet name="Problem 3" sheetId="17" r:id="rId6"/>
    <sheet name="Problem 4" sheetId="21" r:id="rId7"/>
    <sheet name="Problem 5" sheetId="26" r:id="rId8"/>
    <sheet name="Formulas Used" sheetId="27" r:id="rId9"/>
  </sheets>
  <definedNames>
    <definedName name="_xlchart.v1.0" hidden="1">'Problem 4'!$A$5:$A$16</definedName>
    <definedName name="_xlchart.v1.1" hidden="1">'Problem 4'!$F$4</definedName>
    <definedName name="_xlchart.v1.2" hidden="1">'Problem 4'!$F$5:$F$16</definedName>
  </definedNames>
  <calcPr calcId="191029"/>
</workbook>
</file>

<file path=xl/calcChain.xml><?xml version="1.0" encoding="utf-8"?>
<calcChain xmlns="http://schemas.openxmlformats.org/spreadsheetml/2006/main">
  <c r="B8" i="8" l="1"/>
  <c r="B12" i="8"/>
  <c r="B10" i="8"/>
  <c r="B14" i="8"/>
  <c r="B13" i="8"/>
  <c r="B9" i="8"/>
  <c r="B11" i="8"/>
  <c r="B27" i="26"/>
  <c r="B26" i="26"/>
  <c r="B25" i="26"/>
  <c r="B24" i="26"/>
  <c r="B23" i="26"/>
  <c r="B22" i="26"/>
  <c r="B21" i="26"/>
  <c r="G293" i="1"/>
  <c r="G371" i="1"/>
  <c r="G368" i="1"/>
  <c r="G296" i="1"/>
  <c r="G365" i="1"/>
  <c r="G362" i="1"/>
  <c r="G359" i="1"/>
  <c r="G356" i="1"/>
  <c r="G353" i="1"/>
  <c r="G350" i="1"/>
  <c r="G347" i="1"/>
  <c r="G344" i="1"/>
  <c r="G341" i="1"/>
  <c r="G338" i="1"/>
  <c r="G335" i="1"/>
  <c r="G332" i="1"/>
  <c r="G329" i="1"/>
  <c r="G326" i="1"/>
  <c r="G323" i="1"/>
  <c r="G320" i="1"/>
  <c r="G317" i="1"/>
  <c r="G314" i="1"/>
  <c r="G311" i="1"/>
  <c r="G308" i="1"/>
  <c r="G305" i="1"/>
  <c r="G302" i="1"/>
  <c r="G299" i="1"/>
  <c r="G290" i="1"/>
  <c r="G287" i="1"/>
  <c r="G284" i="1"/>
  <c r="G281" i="1"/>
  <c r="G278" i="1"/>
  <c r="G275" i="1"/>
  <c r="G272" i="1"/>
  <c r="G269" i="1"/>
  <c r="G266" i="1"/>
  <c r="G257" i="1"/>
  <c r="G254" i="1"/>
  <c r="G251" i="1"/>
  <c r="G248" i="1"/>
  <c r="G245" i="1"/>
  <c r="G242" i="1"/>
  <c r="G239" i="1"/>
  <c r="G236" i="1"/>
  <c r="G233" i="1"/>
  <c r="G230" i="1"/>
  <c r="G227" i="1"/>
  <c r="G224" i="1"/>
  <c r="G221" i="1"/>
  <c r="G218" i="1"/>
  <c r="G215" i="1"/>
  <c r="G212" i="1"/>
  <c r="G209" i="1"/>
  <c r="G206" i="1"/>
  <c r="G203" i="1"/>
  <c r="G200" i="1"/>
  <c r="G197" i="1"/>
  <c r="G194" i="1"/>
  <c r="G191" i="1"/>
  <c r="G188" i="1"/>
  <c r="G185" i="1"/>
  <c r="G182" i="1"/>
  <c r="G179" i="1"/>
  <c r="G176" i="1"/>
  <c r="G173" i="1"/>
  <c r="G170" i="1"/>
  <c r="G167" i="1"/>
  <c r="G164" i="1"/>
  <c r="G161" i="1"/>
  <c r="G158" i="1"/>
  <c r="G155" i="1"/>
  <c r="G152" i="1"/>
  <c r="G149" i="1"/>
  <c r="G146" i="1"/>
  <c r="G143" i="1"/>
  <c r="G140" i="1"/>
  <c r="G137" i="1"/>
  <c r="G134" i="1"/>
  <c r="G131" i="1"/>
  <c r="G128" i="1"/>
  <c r="G125" i="1"/>
  <c r="G122" i="1"/>
  <c r="G119" i="1"/>
  <c r="G116" i="1"/>
  <c r="G113" i="1"/>
  <c r="G110" i="1"/>
  <c r="G107" i="1"/>
  <c r="G104" i="1"/>
  <c r="G101" i="1"/>
  <c r="G98" i="1"/>
  <c r="G95" i="1"/>
  <c r="G92" i="1"/>
  <c r="G89" i="1"/>
  <c r="G86" i="1"/>
  <c r="G83" i="1"/>
  <c r="G80" i="1"/>
  <c r="G77" i="1"/>
  <c r="G74" i="1"/>
  <c r="G71" i="1"/>
  <c r="G68" i="1"/>
  <c r="G65" i="1"/>
  <c r="G62" i="1"/>
  <c r="G59" i="1"/>
  <c r="G56" i="1"/>
  <c r="G53" i="1"/>
  <c r="G50" i="1"/>
  <c r="G47" i="1"/>
  <c r="G44" i="1"/>
  <c r="G41" i="1"/>
  <c r="G38" i="1"/>
  <c r="G35" i="1"/>
  <c r="G32" i="1"/>
  <c r="G29" i="1"/>
  <c r="G26" i="1"/>
  <c r="G23" i="1"/>
  <c r="G20" i="1"/>
  <c r="G17" i="1"/>
  <c r="G14" i="1"/>
  <c r="G11" i="1"/>
  <c r="G8" i="1"/>
  <c r="G5" i="1"/>
  <c r="G2" i="1"/>
  <c r="K261" i="1"/>
  <c r="K262" i="1"/>
  <c r="K260" i="1"/>
  <c r="I261" i="1"/>
  <c r="I262" i="1"/>
  <c r="I260" i="1"/>
  <c r="G260" i="1"/>
  <c r="F261" i="1"/>
  <c r="F262" i="1"/>
  <c r="F260" i="1"/>
  <c r="E261" i="1"/>
  <c r="E262" i="1"/>
  <c r="E260" i="1"/>
  <c r="D264" i="1"/>
  <c r="E264" i="1"/>
  <c r="F264" i="1"/>
  <c r="G264" i="1"/>
  <c r="H264" i="1"/>
  <c r="I264" i="1"/>
  <c r="J264" i="1"/>
  <c r="K264" i="1"/>
  <c r="D265" i="1"/>
  <c r="E265" i="1"/>
  <c r="F265" i="1"/>
  <c r="G265" i="1"/>
  <c r="H265" i="1"/>
  <c r="I265" i="1"/>
  <c r="J265" i="1"/>
  <c r="K265" i="1"/>
  <c r="E263" i="1"/>
  <c r="F263" i="1"/>
  <c r="G263" i="1"/>
  <c r="H263" i="1"/>
  <c r="I263" i="1"/>
  <c r="J263" i="1"/>
  <c r="K263" i="1"/>
  <c r="D263" i="1"/>
  <c r="C12" i="8" l="1"/>
  <c r="C10" i="8"/>
  <c r="C11" i="8"/>
  <c r="C14" i="8"/>
  <c r="C8" i="8"/>
  <c r="C9" i="8"/>
  <c r="C13" i="8"/>
</calcChain>
</file>

<file path=xl/sharedStrings.xml><?xml version="1.0" encoding="utf-8"?>
<sst xmlns="http://schemas.openxmlformats.org/spreadsheetml/2006/main" count="2001" uniqueCount="198">
  <si>
    <t>Sector</t>
  </si>
  <si>
    <t>Year</t>
  </si>
  <si>
    <t>Month</t>
  </si>
  <si>
    <t>Food And Beverages</t>
  </si>
  <si>
    <t>Pan, tobacco and intoxicants</t>
  </si>
  <si>
    <t>Clothing And Footwear</t>
  </si>
  <si>
    <t>Housing</t>
  </si>
  <si>
    <t>Fuel and light</t>
  </si>
  <si>
    <t>Household goods and services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</si>
  <si>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</si>
  <si>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</si>
  <si>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</si>
  <si>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</si>
  <si>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</si>
  <si>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</si>
  <si>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</si>
  <si>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</si>
  <si>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</si>
  <si>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</si>
  <si>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</si>
  <si>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</si>
  <si>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</si>
  <si>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</si>
  <si>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</si>
  <si>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</si>
  <si>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</si>
  <si>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</si>
  <si>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</si>
  <si>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</si>
  <si>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</si>
  <si>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Personal care and effects</t>
  </si>
  <si>
    <t>Education</t>
  </si>
  <si>
    <t>Recreation and amusement</t>
  </si>
  <si>
    <t>Transport and communication</t>
  </si>
  <si>
    <t>Health</t>
  </si>
  <si>
    <t>Clothing and footwear</t>
  </si>
  <si>
    <t>Footwear</t>
  </si>
  <si>
    <t>Clothing</t>
  </si>
  <si>
    <t>Food and beverages</t>
  </si>
  <si>
    <t>Prepared meals, snacks, sweets etc.</t>
  </si>
  <si>
    <t>Non-alcoholic beverages</t>
  </si>
  <si>
    <t>Spices</t>
  </si>
  <si>
    <t>Sugar and Confectionery</t>
  </si>
  <si>
    <t>Pulses and products</t>
  </si>
  <si>
    <t>Vegetables</t>
  </si>
  <si>
    <t>Fruits</t>
  </si>
  <si>
    <t>Oils and fats</t>
  </si>
  <si>
    <t>Milk and products</t>
  </si>
  <si>
    <t>Egg</t>
  </si>
  <si>
    <t>Meat and fish</t>
  </si>
  <si>
    <t>Cereals and products</t>
  </si>
  <si>
    <t>Average of Food And Beverages</t>
  </si>
  <si>
    <t>Average of Pan, tobacco and intoxicants</t>
  </si>
  <si>
    <t>Average of Household goods and services</t>
  </si>
  <si>
    <t>Average of Miscellaneous</t>
  </si>
  <si>
    <t>Average of Fuel and light</t>
  </si>
  <si>
    <t>Average of Housing</t>
  </si>
  <si>
    <t>Average of Clothing And Footwear</t>
  </si>
  <si>
    <t>Category</t>
  </si>
  <si>
    <t>% Total</t>
  </si>
  <si>
    <t>Average Total</t>
  </si>
  <si>
    <t>Average Of General Index</t>
  </si>
  <si>
    <t>Year On Year Growth</t>
  </si>
  <si>
    <t>1. High food inflation</t>
  </si>
  <si>
    <t>2. Energy &amp; fuel costs</t>
  </si>
  <si>
    <t>3. Imported inflation</t>
  </si>
  <si>
    <t>4. Housing &amp; services</t>
  </si>
  <si>
    <t>5. Base effect</t>
  </si>
  <si>
    <t>Inflation in late 2021/early 2022 was already high. That meant YoY in 2022 averaged slightly lower (since base was high).</t>
  </si>
  <si>
    <t>Poor monsoons &amp; heatwaves in parts of India → lower crop yields.</t>
  </si>
  <si>
    <t>Supply chain disruptions (higher transport costs, global shortages).</t>
  </si>
  <si>
    <t>Export restrictions (like on wheat and rice) tightened domestic supply, pushing up prices.</t>
  </si>
  <si>
    <t>2022’s global commodity shock (Russia–Ukraine war) led to spikes in crude oil and fuel prices.</t>
  </si>
  <si>
    <t>Food And Bevrages</t>
  </si>
  <si>
    <t>Month On Month Change</t>
  </si>
  <si>
    <t>Row Labels</t>
  </si>
  <si>
    <t>Average Of Essentials</t>
  </si>
  <si>
    <t>Inflation%</t>
  </si>
  <si>
    <t/>
  </si>
  <si>
    <t>Household Goods And Services</t>
  </si>
  <si>
    <t>Fuel And Light</t>
  </si>
  <si>
    <t xml:space="preserve"> Pan Tobacco And Intoxicants</t>
  </si>
  <si>
    <t>Corelation</t>
  </si>
  <si>
    <r>
      <t>0.9 to 1.0 (or -0.9 to -1.0)</t>
    </r>
    <r>
      <rPr>
        <sz val="11"/>
        <color theme="1"/>
        <rFont val="Calibri"/>
        <family val="2"/>
        <scheme val="minor"/>
      </rPr>
      <t xml:space="preserve"> → Very strong</t>
    </r>
  </si>
  <si>
    <r>
      <t>0.7 to 0.9 (or -0.7 to -0.9)</t>
    </r>
    <r>
      <rPr>
        <sz val="11"/>
        <color theme="1"/>
        <rFont val="Calibri"/>
        <family val="2"/>
        <scheme val="minor"/>
      </rPr>
      <t xml:space="preserve"> → Strong</t>
    </r>
  </si>
  <si>
    <r>
      <t>0.5 to 0.7 (or -0.5 to -0.7)</t>
    </r>
    <r>
      <rPr>
        <sz val="11"/>
        <color theme="1"/>
        <rFont val="Calibri"/>
        <family val="2"/>
        <scheme val="minor"/>
      </rPr>
      <t xml:space="preserve"> → Moderate</t>
    </r>
  </si>
  <si>
    <r>
      <t>0.3 to 0.5 (or -0.3 to -0.5)</t>
    </r>
    <r>
      <rPr>
        <sz val="11"/>
        <color theme="1"/>
        <rFont val="Calibri"/>
        <family val="2"/>
        <scheme val="minor"/>
      </rPr>
      <t xml:space="preserve"> → Weak to moderate</t>
    </r>
  </si>
  <si>
    <r>
      <t>0.0 to 0.3 (or 0 to -0.3)</t>
    </r>
    <r>
      <rPr>
        <sz val="11"/>
        <color theme="1"/>
        <rFont val="Calibri"/>
        <family val="2"/>
        <scheme val="minor"/>
      </rPr>
      <t xml:space="preserve"> → Very weak or no correlation</t>
    </r>
  </si>
  <si>
    <t>Oil Price (USD/BBL)</t>
  </si>
  <si>
    <t>Weak to Moderate Positive</t>
  </si>
  <si>
    <t>Very Weak Positive</t>
  </si>
  <si>
    <t>No correlation</t>
  </si>
  <si>
    <t>Moderate Positive</t>
  </si>
  <si>
    <t>Very Weak Negative</t>
  </si>
  <si>
    <t>Impact Of Oil Price</t>
  </si>
  <si>
    <t>2021-2023  Average Of Broader Cpi Baskets And Imported Crude Oil Data Table:</t>
  </si>
  <si>
    <t>Name</t>
  </si>
  <si>
    <t>Formula</t>
  </si>
  <si>
    <t>Average</t>
  </si>
  <si>
    <t>AVERAGE(number1, [number2], …)</t>
  </si>
  <si>
    <t>Monthly Inflation Rate</t>
  </si>
  <si>
    <t>Annual Inflation Rate</t>
  </si>
  <si>
    <t>((CPI IN CURRENT MONTH- CPI IN PREVIOUS MONTH)/CPI IN PREVIOUS MONTH)*100</t>
  </si>
  <si>
    <t>((CPI AT THE END OF YEAR/CPI AT THE START OF YEAR)/CPI AT THE START OF YEAR)*100</t>
  </si>
  <si>
    <t>MAJOR FORMULAS USED IN THIS PROJECT.</t>
  </si>
  <si>
    <t>CPI Broader Groups &amp; Sub-Categories</t>
  </si>
  <si>
    <t>Cereals &amp; products</t>
  </si>
  <si>
    <t>Meat &amp; fish</t>
  </si>
  <si>
    <t>Eggs</t>
  </si>
  <si>
    <t>Milk &amp; products</t>
  </si>
  <si>
    <t>Oils &amp; fats</t>
  </si>
  <si>
    <t>Pulses &amp; products</t>
  </si>
  <si>
    <t>Sugar &amp; confectionery</t>
  </si>
  <si>
    <t>Prepared meals, snacks, sweets, etc.</t>
  </si>
  <si>
    <t>Pan</t>
  </si>
  <si>
    <t>Tobacco</t>
  </si>
  <si>
    <t>Alcoholic drinks</t>
  </si>
  <si>
    <t>House rent</t>
  </si>
  <si>
    <t>Water charges</t>
  </si>
  <si>
    <t>Maintenance, repairs, etc.</t>
  </si>
  <si>
    <t>Electricity</t>
  </si>
  <si>
    <t>Firewood &amp; chips</t>
  </si>
  <si>
    <t>LPG, kerosene, coal, etc.</t>
  </si>
  <si>
    <t>(This is the most diverse category, covers services)</t>
  </si>
  <si>
    <t>Transport &amp; communication</t>
  </si>
  <si>
    <t>Recreation &amp; amusement</t>
  </si>
  <si>
    <t>Personal care &amp; effects</t>
  </si>
  <si>
    <t>Personal care services</t>
  </si>
  <si>
    <t>Miscellaneous goods &amp; services</t>
  </si>
  <si>
    <t>1. Food and Beverages 🍞🥛</t>
  </si>
  <si>
    <t>2. Pan, Tobacco and Intoxicants 🚬</t>
  </si>
  <si>
    <t>3. Clothing and Footwear 👕👞</t>
  </si>
  <si>
    <t>4. Housing 🏠</t>
  </si>
  <si>
    <t>5. Fuel and Light 🔥💡</t>
  </si>
  <si>
    <t>Grand Total</t>
  </si>
  <si>
    <t>Year 2022 has the highest inflation rate because:</t>
  </si>
  <si>
    <t>Food (especially cereals, vegetables, and milk) saw sharp price increases during due to:</t>
  </si>
  <si>
    <t>Even though global crude eased later in 2022, pass-through into transport &amp; logistics costs kept inflation elevated in early/mid 2023.</t>
  </si>
  <si>
    <t>India is a large oil importer. A weak rupee during 2021–2022 made imports (fuel, edible oil, fertilizers) more expensive → sustained pressure on CPI.</t>
  </si>
  <si>
    <t>Post-COVID demand recovery in 2021–2022 ifted housing rents, healthcare, and education costs, adding to “core inflation” (non-food, non-fuel).</t>
  </si>
  <si>
    <t>In 2022, despite some easing in fuel, sticky food &amp; services inflation kept averages at the peak.</t>
  </si>
  <si>
    <t>Core CPI in India stayed stubbornly high around 6%+ for much of 2022.</t>
  </si>
  <si>
    <t>Average of Cereals and products</t>
  </si>
  <si>
    <t>Average of Food and beverages</t>
  </si>
  <si>
    <t>Average of Prepared meals, snacks, sweets etc.</t>
  </si>
  <si>
    <t>Average of Non-alcoholic beverages</t>
  </si>
  <si>
    <t>Average of Spices</t>
  </si>
  <si>
    <t>Average of Sugar and Confectionery</t>
  </si>
  <si>
    <t>Average of Pulses and products</t>
  </si>
  <si>
    <t>Average of Vegetables</t>
  </si>
  <si>
    <t>Average of Fruits</t>
  </si>
  <si>
    <t>Average of Oils and fats</t>
  </si>
  <si>
    <t>Average of Milk and products</t>
  </si>
  <si>
    <t>Average of Egg</t>
  </si>
  <si>
    <t>Average of Meat and fish</t>
  </si>
  <si>
    <r>
      <rPr>
        <b/>
        <sz val="11"/>
        <color theme="1"/>
        <rFont val="Calibri"/>
        <family val="2"/>
        <scheme val="minor"/>
      </rPr>
      <t>Meat And Fish</t>
    </r>
    <r>
      <rPr>
        <sz val="11"/>
        <color theme="1"/>
        <rFont val="Calibri"/>
        <family val="2"/>
        <scheme val="minor"/>
      </rPr>
      <t xml:space="preserve"> are the biggest individual category contributor for the last 12 month period for the given CPI Data.</t>
    </r>
  </si>
  <si>
    <t>India CPI Inflation Case Study</t>
  </si>
  <si>
    <r>
      <t>Overview:</t>
    </r>
    <r>
      <rPr>
        <sz val="12"/>
        <color theme="1"/>
        <rFont val="Times New Roman"/>
        <family val="1"/>
      </rPr>
      <t xml:space="preserve"> In India, the Consumer Price Index (CPI) is used to measure inflation, and it involves a fixed basket of goods and services. This basket is comprehensive and includes a wide array of items that an average Indian consumer uses. These items are not limited to just food and clothing but extend to transportation, medical care, electricity, education, and almost every other category that involves expenditure of money. The CPI is calculated by comparing the general price level in the markets during a particular time period with a base year. The items in the CPI basket are classified across various categories like food and beverages, clothing, housing, fuel and light, and recreation, among others.</t>
    </r>
  </si>
  <si>
    <t>The CPI basket contains categories like food and beverages, housing, apparel, transportation, medical care, and more. The weight of each category in the total index might differ based on its relative importance to the average consumer expenditure but for the purpose of this analysis consider equal weights across all categories.</t>
  </si>
  <si>
    <t>The dataset provided is a CPI inflation index extracted from GOI website</t>
  </si>
  <si>
    <t>Each number represents the index value for that month and category</t>
  </si>
  <si>
    <t>There are missing values in the dataset – use suitable imputation technique (like moving averages), if required</t>
  </si>
  <si>
    <t>The CPI is an index and not a direct measure of price levels, but rather a relative indicator used to measure inflation or the average change in prices over time. Consumer Price Index (CPI) values cannot be summed across different months to derive meaningful insights or aggregate measures.</t>
  </si>
  <si>
    <r>
      <t>CPI-U (Urban):</t>
    </r>
    <r>
      <rPr>
        <sz val="12"/>
        <color theme="1"/>
        <rFont val="Times New Roman"/>
        <family val="1"/>
      </rPr>
      <t xml:space="preserve"> Reflects spending patterns for urban consumers.</t>
    </r>
  </si>
  <si>
    <r>
      <t>CPI-R (Rural):</t>
    </r>
    <r>
      <rPr>
        <sz val="12"/>
        <color theme="1"/>
        <rFont val="Times New Roman"/>
        <family val="1"/>
      </rPr>
      <t xml:space="preserve"> Reflects spending patterns for rural consumers.</t>
    </r>
  </si>
  <si>
    <t>The General Index gives you the overall Inflation for the month for all the categories combined</t>
  </si>
  <si>
    <t>Problem Statement:</t>
  </si>
  <si>
    <t>You are working with the National Statistical Office which is equipped to release inflation numbers in India. As an analyst, you are provided with CPI data and are equipped to find out insights from the data. Your senior wants you to find key trends and deep dive into the data to answer the following questions -</t>
  </si>
  <si>
    <t>1. Based on the latest month’s data, identify the contribution of different broader categories (food, energy, transportation, education, etc.) towards the CPI basket.</t>
  </si>
  <si>
    <t>Broader categories (buckets) can be created by combining similar categories into one bucket; Ex.: Meals, Beverages, Cereals, can be clubbed to create “Food” category, etc.</t>
  </si>
  <si>
    <t>Which broader category has the highest contribution towards CPI calculation</t>
  </si>
  <si>
    <t>Contribution is calculated by evaluating the underlying index values for broader category and should add to 100% when contribution from different broader categories are added.</t>
  </si>
  <si>
    <t>2. A trend of Y-o-Y increase in CPI (rural + urban) inflation starting 2017 for the entire basket of products combined.</t>
  </si>
  <si>
    <t>o Investigate trends in the prices of broader food bucket category and evaluate month-on-month changes. Highlight month with highest and lowest food inflation</t>
  </si>
  <si>
    <t>o Identify the absolute changes in inflation over the same 12 months period and identify the biggest individual category contributor (only within broader food category) towards inflation"</t>
  </si>
  <si>
    <t>Hint: You can consider Mar'20 as the onset of covid, and can compare the inflation trend before and after Mar'20 to see if there is a change in inflation % before and after.</t>
  </si>
  <si>
    <t>Create a graph depicting the growth rate Y-o-Y and identify the year with highest inflation rate</t>
  </si>
  <si>
    <t>Highlight the reason why the year has the highest inflation (based on research).</t>
  </si>
  <si>
    <t>3. With India's retail inflation reaching a 3-month high of 5.55% in November 2023, largely due to a sharp rise in food prices. Analyze the following for 12 months ending May'23</t>
  </si>
  <si>
    <t>4. Investigate how the onset and progression of the COVID-19 pandemic affected inflation rates in India. Analyze the Impact of key pandemic milestone (first lockdown) on the CPI inflation %, specially focus on categories like healthcare, food, and essential services.</t>
  </si>
  <si>
    <t>Identify trends in oil price change with change in inflation prices of all the categories and identify category whose inflation prices strongly changes with fluctuations in imported oil price (Hint: you can use =correl function)"</t>
  </si>
  <si>
    <t>For the purpose of this analysis, focus only on the imported oil price fluctuations for years 2021 to 2023 (Month-on-month)</t>
  </si>
  <si>
    <r>
      <t>5.</t>
    </r>
    <r>
      <rPr>
        <b/>
        <sz val="12"/>
        <color rgb="FF1B1C1D"/>
        <rFont val="Times New Roman"/>
        <family val="1"/>
      </rPr>
      <t xml:space="preserve">    </t>
    </r>
    <r>
      <rPr>
        <b/>
        <sz val="12"/>
        <color rgb="FF1B1C1D"/>
        <rFont val="Arial"/>
        <family val="2"/>
      </rPr>
      <t>Investigate how major global economic events (like imported crude oil price fluctuations) have influenced India's inflation. This can include an analysis of imported goods and their price trends.</t>
    </r>
  </si>
  <si>
    <t>1️⃣ Find who contributes the most for the recent month i.e May 2023</t>
  </si>
  <si>
    <t>2️⃣ Check trend of inflation every year (2017 onwards), Year On Year Analysis.</t>
  </si>
  <si>
    <t>3️⃣ Focus on food (for 12 months ending May 2023)</t>
  </si>
  <si>
    <t>4️⃣ COVID-19 effect. (MAR_2020, Start)</t>
  </si>
  <si>
    <t>5️⃣ How Broader Index Prices React To Change In Price Of Oil.</t>
  </si>
  <si>
    <r>
      <t>CPI data</t>
    </r>
    <r>
      <rPr>
        <sz val="11"/>
        <color theme="1"/>
        <rFont val="Calibri"/>
        <family val="2"/>
        <scheme val="minor"/>
      </rPr>
      <t xml:space="preserve"> means </t>
    </r>
    <r>
      <rPr>
        <b/>
        <sz val="11"/>
        <color theme="1"/>
        <rFont val="Calibri"/>
        <family val="2"/>
        <scheme val="minor"/>
      </rPr>
      <t>Consumer Price Index data</t>
    </r>
    <r>
      <rPr>
        <sz val="11"/>
        <color theme="1"/>
        <rFont val="Calibri"/>
        <family val="2"/>
        <scheme val="minor"/>
      </rPr>
      <t xml:space="preserve"> — it shows how much the prices of everyday goods and services have changed over time</t>
    </r>
  </si>
  <si>
    <r>
      <t xml:space="preserve">In India, the </t>
    </r>
    <r>
      <rPr>
        <b/>
        <sz val="11"/>
        <color theme="1"/>
        <rFont val="Calibri"/>
        <family val="2"/>
        <scheme val="minor"/>
      </rPr>
      <t>base year</t>
    </r>
    <r>
      <rPr>
        <sz val="11"/>
        <color theme="1"/>
        <rFont val="Calibri"/>
        <family val="2"/>
        <scheme val="minor"/>
      </rPr>
      <t xml:space="preserve"> for the </t>
    </r>
    <r>
      <rPr>
        <b/>
        <sz val="11"/>
        <color theme="1"/>
        <rFont val="Calibri"/>
        <family val="2"/>
        <scheme val="minor"/>
      </rPr>
      <t>Consumer Price Index (CPI)</t>
    </r>
    <r>
      <rPr>
        <sz val="11"/>
        <color theme="1"/>
        <rFont val="Calibri"/>
        <family val="2"/>
        <scheme val="minor"/>
      </rPr>
      <t xml:space="preserve"> is </t>
    </r>
    <r>
      <rPr>
        <b/>
        <sz val="11"/>
        <color theme="1"/>
        <rFont val="Calibri"/>
        <family val="2"/>
        <scheme val="minor"/>
      </rPr>
      <t>2012</t>
    </r>
    <r>
      <rPr>
        <sz val="11"/>
        <color theme="1"/>
        <rFont val="Calibri"/>
        <family val="2"/>
        <scheme val="minor"/>
      </rPr>
      <t>.</t>
    </r>
  </si>
  <si>
    <r>
      <t xml:space="preserve">The </t>
    </r>
    <r>
      <rPr>
        <b/>
        <sz val="11"/>
        <color theme="1"/>
        <rFont val="Calibri"/>
        <family val="2"/>
        <scheme val="minor"/>
      </rPr>
      <t>National Statistical Office (NSO)</t>
    </r>
    <r>
      <rPr>
        <sz val="11"/>
        <color theme="1"/>
        <rFont val="Calibri"/>
        <family val="2"/>
        <scheme val="minor"/>
      </rPr>
      <t xml:space="preserve"> releases CPI data </t>
    </r>
    <r>
      <rPr>
        <b/>
        <sz val="11"/>
        <color theme="1"/>
        <rFont val="Calibri"/>
        <family val="2"/>
        <scheme val="minor"/>
      </rPr>
      <t>every month</t>
    </r>
    <r>
      <rPr>
        <sz val="11"/>
        <color theme="1"/>
        <rFont val="Calibri"/>
        <family val="2"/>
        <scheme val="minor"/>
      </rPr>
      <t>.</t>
    </r>
  </si>
  <si>
    <t>6. Household goods &amp; services</t>
  </si>
  <si>
    <t>Furniture and Furnishings</t>
  </si>
  <si>
    <t>Household Appliances</t>
  </si>
  <si>
    <t>Utensils and Cookware</t>
  </si>
  <si>
    <t>Repair and maintenance services</t>
  </si>
  <si>
    <t>👉 These seven major groups cover the full basket of goods and services that households typically consume. The weights of these categories differ for rural, urban, and combined CPI.</t>
  </si>
  <si>
    <t>7. Miscellaneous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</si>
</sst>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Black"/>
      <family val="2"/>
    </font>
    <font>
      <sz val="12"/>
      <color theme="1"/>
      <name val="Calibri"/>
      <family val="2"/>
      <scheme val="minor"/>
    </font>
    <font>
      <sz val="12"/>
      <color theme="1"/>
      <name val="Times New Roman"/>
      <family val="1"/>
    </font>
    <font>
      <b/>
      <sz val="12"/>
      <color theme="1"/>
      <name val="Times New Roman"/>
      <family val="1"/>
    </font>
    <font>
      <sz val="12"/>
      <color rgb="FF1B1C1D"/>
      <name val="Arial"/>
      <family val="2"/>
    </font>
    <font>
      <b/>
      <sz val="12"/>
      <color rgb="FF1B1C1D"/>
      <name val="Arial"/>
      <family val="2"/>
    </font>
    <font>
      <b/>
      <sz val="12"/>
      <color rgb="FF1B1C1D"/>
      <name val="Times New Roman"/>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4.9989318521683403E-2"/>
        <bgColor theme="4" tint="0.79998168889431442"/>
      </patternFill>
    </fill>
    <fill>
      <patternFill patternType="solid">
        <fgColor theme="4" tint="-0.249977111117893"/>
        <bgColor theme="4"/>
      </patternFill>
    </fill>
    <fill>
      <patternFill patternType="solid">
        <fgColor theme="4" tint="-0.249977111117893"/>
        <bgColor indexed="64"/>
      </patternFill>
    </fill>
    <fill>
      <patternFill patternType="solid">
        <fgColor theme="4" tint="-0.249977111117893"/>
        <bgColor theme="4" tint="0.799981688894314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33" borderId="0" xfId="0" applyFill="1"/>
    <xf numFmtId="0" fontId="16" fillId="34" borderId="14" xfId="0" applyFont="1" applyFill="1" applyBorder="1"/>
    <xf numFmtId="0" fontId="16" fillId="34" borderId="10" xfId="0" applyFont="1" applyFill="1" applyBorder="1"/>
    <xf numFmtId="10" fontId="16" fillId="33" borderId="15" xfId="0" applyNumberFormat="1" applyFont="1" applyFill="1" applyBorder="1"/>
    <xf numFmtId="0" fontId="16" fillId="34" borderId="16" xfId="0" applyFont="1" applyFill="1" applyBorder="1"/>
    <xf numFmtId="0" fontId="16" fillId="34" borderId="17" xfId="0" applyFont="1" applyFill="1" applyBorder="1"/>
    <xf numFmtId="10" fontId="16" fillId="33" borderId="18" xfId="0" applyNumberFormat="1" applyFont="1" applyFill="1" applyBorder="1"/>
    <xf numFmtId="0" fontId="13" fillId="35" borderId="0" xfId="0" applyFont="1" applyFill="1"/>
    <xf numFmtId="0" fontId="0" fillId="36" borderId="11" xfId="0" applyFill="1" applyBorder="1"/>
    <xf numFmtId="0" fontId="16" fillId="37" borderId="12" xfId="0" applyFont="1" applyFill="1" applyBorder="1" applyAlignment="1">
      <alignment horizontal="left"/>
    </xf>
    <xf numFmtId="0" fontId="16" fillId="36" borderId="13" xfId="0" applyFont="1" applyFill="1" applyBorder="1"/>
    <xf numFmtId="0" fontId="16" fillId="33" borderId="0" xfId="0" applyFont="1" applyFill="1"/>
    <xf numFmtId="0" fontId="16" fillId="36" borderId="0" xfId="0" applyFont="1" applyFill="1"/>
    <xf numFmtId="0" fontId="16" fillId="33" borderId="0" xfId="0" applyFont="1" applyFill="1" applyAlignment="1">
      <alignment horizontal="left"/>
    </xf>
    <xf numFmtId="10" fontId="16" fillId="33" borderId="0" xfId="0" applyNumberFormat="1" applyFont="1" applyFill="1"/>
    <xf numFmtId="0" fontId="16" fillId="34" borderId="0" xfId="0" applyFont="1" applyFill="1" applyAlignment="1">
      <alignment horizontal="left"/>
    </xf>
    <xf numFmtId="0" fontId="16" fillId="34" borderId="0" xfId="0" applyFont="1" applyFill="1"/>
    <xf numFmtId="0" fontId="16" fillId="36" borderId="11" xfId="0" applyFont="1" applyFill="1" applyBorder="1"/>
    <xf numFmtId="0" fontId="16" fillId="36" borderId="12" xfId="0" applyFont="1" applyFill="1" applyBorder="1"/>
    <xf numFmtId="0" fontId="16" fillId="33" borderId="14" xfId="0" applyFont="1" applyFill="1" applyBorder="1"/>
    <xf numFmtId="0" fontId="16" fillId="33" borderId="10" xfId="0" applyFont="1" applyFill="1" applyBorder="1"/>
    <xf numFmtId="0" fontId="16" fillId="33" borderId="16" xfId="0" applyFont="1" applyFill="1" applyBorder="1"/>
    <xf numFmtId="0" fontId="16" fillId="33" borderId="17" xfId="0" applyFont="1" applyFill="1" applyBorder="1"/>
    <xf numFmtId="2" fontId="16" fillId="36" borderId="13" xfId="0" applyNumberFormat="1" applyFont="1" applyFill="1" applyBorder="1"/>
    <xf numFmtId="10" fontId="16" fillId="33" borderId="10" xfId="0" applyNumberFormat="1" applyFont="1" applyFill="1" applyBorder="1"/>
    <xf numFmtId="0" fontId="18" fillId="33" borderId="0" xfId="0" applyFont="1" applyFill="1"/>
    <xf numFmtId="0" fontId="16" fillId="33" borderId="0" xfId="0" applyFont="1" applyFill="1" applyAlignment="1">
      <alignment horizontal="left" vertical="center" indent="1"/>
    </xf>
    <xf numFmtId="0" fontId="0" fillId="33" borderId="0" xfId="0" applyFill="1" applyAlignment="1">
      <alignment horizontal="left" vertical="center" indent="1"/>
    </xf>
    <xf numFmtId="0" fontId="16" fillId="33" borderId="15" xfId="0" applyFont="1" applyFill="1" applyBorder="1"/>
    <xf numFmtId="0" fontId="16" fillId="33" borderId="18" xfId="0" applyFont="1" applyFill="1" applyBorder="1"/>
    <xf numFmtId="0" fontId="13" fillId="36" borderId="10" xfId="0" applyFont="1" applyFill="1" applyBorder="1"/>
    <xf numFmtId="10" fontId="0" fillId="33" borderId="0" xfId="0" applyNumberFormat="1" applyFill="1"/>
    <xf numFmtId="0" fontId="13" fillId="36" borderId="0" xfId="0" applyFont="1" applyFill="1"/>
    <xf numFmtId="0" fontId="20" fillId="33" borderId="0" xfId="0" applyFont="1" applyFill="1" applyAlignment="1">
      <alignment horizontal="left" vertical="top"/>
    </xf>
    <xf numFmtId="0" fontId="19" fillId="33" borderId="0" xfId="0" applyFont="1" applyFill="1" applyAlignment="1">
      <alignment horizontal="left" vertical="top"/>
    </xf>
    <xf numFmtId="0" fontId="21" fillId="33" borderId="0" xfId="0" applyFont="1" applyFill="1" applyAlignment="1">
      <alignment horizontal="left" vertical="top"/>
    </xf>
    <xf numFmtId="0" fontId="22" fillId="33" borderId="0" xfId="0" applyFont="1" applyFill="1" applyAlignment="1">
      <alignment horizontal="left" vertical="top"/>
    </xf>
    <xf numFmtId="0" fontId="23" fillId="33" borderId="0" xfId="0" applyFont="1" applyFill="1" applyAlignment="1">
      <alignment horizontal="left" vertical="top"/>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4">
    <dxf>
      <font>
        <b/>
      </font>
      <fill>
        <patternFill patternType="solid">
          <fgColor indexed="64"/>
          <bgColor theme="0" tint="-4.9989318521683403E-2"/>
        </patternFill>
      </fill>
    </dxf>
    <dxf>
      <font>
        <b/>
      </font>
      <fill>
        <patternFill patternType="solid">
          <fgColor indexed="64"/>
          <bgColor theme="0" tint="-4.9989318521683403E-2"/>
        </patternFill>
      </fill>
      <border diagonalUp="0" diagonalDown="0" outline="0">
        <left style="thin">
          <color indexed="64"/>
        </left>
        <right/>
        <top style="thin">
          <color indexed="64"/>
        </top>
        <bottom style="thin">
          <color indexed="64"/>
        </bottom>
      </border>
    </dxf>
    <dxf>
      <font>
        <b/>
      </font>
      <fill>
        <patternFill patternType="solid">
          <fgColor indexed="64"/>
          <bgColor theme="0" tint="-4.9989318521683403E-2"/>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dxf>
    <dxf>
      <border>
        <bottom style="thin">
          <color indexed="64"/>
        </bottom>
      </border>
    </dxf>
    <dxf>
      <font>
        <b/>
      </font>
      <fill>
        <patternFill patternType="solid">
          <fgColor indexed="64"/>
          <bgColor theme="4" tint="-0.249977111117893"/>
        </patternFill>
      </fill>
      <border diagonalUp="0" diagonalDown="0" outline="0">
        <left style="thin">
          <color indexed="64"/>
        </left>
        <right style="thin">
          <color indexed="64"/>
        </right>
        <top/>
        <bottom/>
      </border>
    </dxf>
    <dxf>
      <font>
        <b/>
      </font>
      <fill>
        <patternFill patternType="solid">
          <fgColor indexed="64"/>
          <bgColor theme="0" tint="-4.9989318521683403E-2"/>
        </patternFill>
      </fill>
      <border diagonalUp="0" diagonalDown="0" outline="0">
        <left style="thin">
          <color indexed="64"/>
        </left>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dxf>
    <dxf>
      <border>
        <bottom style="thin">
          <color indexed="64"/>
        </bottom>
      </border>
    </dxf>
    <dxf>
      <font>
        <b/>
      </font>
      <fill>
        <patternFill patternType="solid">
          <fgColor indexed="64"/>
          <bgColor theme="4" tint="-0.249977111117893"/>
        </patternFill>
      </fill>
      <border diagonalUp="0" diagonalDown="0" outline="0">
        <left style="thin">
          <color indexed="64"/>
        </left>
        <right style="thin">
          <color indexed="64"/>
        </right>
        <top/>
        <bottom/>
      </border>
    </dxf>
    <dxf>
      <font>
        <b/>
      </font>
      <numFmt numFmtId="14" formatCode="0.00%"/>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0" tint="-4.9989318521683403E-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dxf>
    <dxf>
      <border>
        <bottom style="thin">
          <color indexed="64"/>
        </bottom>
      </border>
    </dxf>
    <dxf>
      <font>
        <b/>
      </font>
      <fill>
        <patternFill patternType="solid">
          <fgColor indexed="64"/>
          <bgColor theme="4" tint="-0.249977111117893"/>
        </patternFill>
      </fill>
      <border diagonalUp="0" diagonalDown="0">
        <left style="thin">
          <color indexed="64"/>
        </left>
        <right style="thin">
          <color indexed="64"/>
        </right>
        <top/>
        <bottom/>
        <vertical style="thin">
          <color indexed="64"/>
        </vertical>
        <horizontal style="thin">
          <color indexed="64"/>
        </horizontal>
      </border>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0" tint="-4.9989318521683403E-2"/>
        </patternFill>
      </fill>
    </dxf>
    <dxf>
      <font>
        <b/>
      </font>
      <fill>
        <patternFill patternType="solid">
          <fgColor indexed="64"/>
          <bgColor theme="4" tint="-0.249977111117893"/>
        </patternFill>
      </fill>
    </dxf>
    <dxf>
      <font>
        <b/>
      </font>
      <numFmt numFmtId="14" formatCode="0.00%"/>
      <fill>
        <patternFill patternType="solid">
          <fgColor indexed="64"/>
          <bgColor theme="0" tint="-4.9989318521683403E-2"/>
        </patternFill>
      </fill>
      <border diagonalUp="0" diagonalDown="0" outline="0">
        <left style="thin">
          <color indexed="64"/>
        </left>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theme="0" tint="-4.9989318521683403E-2"/>
        </patternFill>
      </fill>
    </dxf>
    <dxf>
      <border>
        <bottom style="thin">
          <color indexed="64"/>
        </bottom>
      </border>
    </dxf>
    <dxf>
      <font>
        <b/>
      </font>
      <fill>
        <patternFill patternType="solid">
          <fgColor indexed="64"/>
          <bgColor theme="4" tint="-0.249977111117893"/>
        </patternFill>
      </fill>
      <border diagonalUp="0" diagonalDown="0" outline="0">
        <left style="thin">
          <color indexed="64"/>
        </left>
        <right style="thin">
          <color indexed="64"/>
        </right>
        <top/>
        <bottom/>
      </border>
    </dxf>
    <dxf>
      <font>
        <b/>
      </font>
      <fill>
        <patternFill patternType="solid">
          <bgColor theme="0" tint="-4.9989318521683403E-2"/>
        </patternFill>
      </fill>
    </dxf>
    <dxf>
      <font>
        <b/>
        <i val="0"/>
        <strike val="0"/>
        <condense val="0"/>
        <extend val="0"/>
        <outline val="0"/>
        <shadow val="0"/>
        <u val="none"/>
        <vertAlign val="baseline"/>
        <sz val="11"/>
        <color theme="1"/>
        <name val="Calibri"/>
        <family val="2"/>
        <scheme val="minor"/>
      </font>
      <numFmt numFmtId="0" formatCode="General"/>
      <fill>
        <patternFill patternType="solid">
          <bgColor theme="0" tint="-4.9989318521683403E-2"/>
        </patternFill>
      </fill>
    </dxf>
    <dxf>
      <font>
        <b/>
        <i val="0"/>
        <strike val="0"/>
        <condense val="0"/>
        <extend val="0"/>
        <outline val="0"/>
        <shadow val="0"/>
        <u val="none"/>
        <vertAlign val="baseline"/>
        <sz val="11"/>
        <color theme="1"/>
        <name val="Calibri"/>
        <family val="2"/>
        <scheme val="minor"/>
      </font>
      <fill>
        <patternFill patternType="solid">
          <bgColor theme="0" tint="-4.9989318521683403E-2"/>
        </patternFill>
      </fill>
      <alignment horizontal="left" vertical="bottom"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b/>
      </font>
      <fill>
        <patternFill patternType="solid">
          <bgColor theme="0" tint="-4.9989318521683403E-2"/>
        </patternFill>
      </fill>
    </dxf>
    <dxf>
      <border>
        <bottom style="thin">
          <color indexed="64"/>
        </bottom>
      </border>
    </dxf>
    <dxf>
      <font>
        <b/>
      </font>
      <fill>
        <patternFill patternType="solid">
          <bgColor theme="4" tint="-0.249977111117893"/>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numFmt numFmtId="14" formatCode="0.00%"/>
      <fill>
        <patternFill patternType="solid">
          <bgColor theme="0" tint="-4.9989318521683403E-2"/>
        </patternFill>
      </fill>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0" tint="-4.9989318521683403E-2"/>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0" tint="-4.9989318521683403E-2"/>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bgColor theme="0" tint="-4.9989318521683403E-2"/>
        </patternFill>
      </fill>
    </dxf>
    <dxf>
      <border>
        <bottom style="thin">
          <color indexed="64"/>
        </bottom>
      </border>
    </dxf>
    <dxf>
      <fill>
        <patternFill patternType="solid">
          <bgColor theme="4" tint="-0.249977111117893"/>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'Problem 1'!$B$7</c:f>
              <c:strCache>
                <c:ptCount val="1"/>
                <c:pt idx="0">
                  <c:v>Average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92-493A-AAD7-0E67334A91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92-493A-AAD7-0E67334A91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92-493A-AAD7-0E67334A917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092-493A-AAD7-0E67334A917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092-493A-AAD7-0E67334A917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092-493A-AAD7-0E67334A917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092-493A-AAD7-0E67334A917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 1'!$A$8:$A$14</c:f>
              <c:strCache>
                <c:ptCount val="7"/>
                <c:pt idx="0">
                  <c:v>Average of Pan, tobacco and intoxicants</c:v>
                </c:pt>
                <c:pt idx="1">
                  <c:v>Average of Clothing And Footwear</c:v>
                </c:pt>
                <c:pt idx="2">
                  <c:v>Average of Fuel and light</c:v>
                </c:pt>
                <c:pt idx="3">
                  <c:v>Average of Food And Beverages</c:v>
                </c:pt>
                <c:pt idx="4">
                  <c:v>Average of Miscellaneous</c:v>
                </c:pt>
                <c:pt idx="5">
                  <c:v>Average of Housing</c:v>
                </c:pt>
                <c:pt idx="6">
                  <c:v>Average of Household goods and services</c:v>
                </c:pt>
              </c:strCache>
            </c:strRef>
          </c:cat>
          <c:val>
            <c:numRef>
              <c:f>'Problem 1'!$B$8:$B$14</c:f>
              <c:numCache>
                <c:formatCode>General</c:formatCode>
                <c:ptCount val="7"/>
                <c:pt idx="0">
                  <c:v>201.70000000000002</c:v>
                </c:pt>
                <c:pt idx="1">
                  <c:v>183.53333333333333</c:v>
                </c:pt>
                <c:pt idx="2">
                  <c:v>182.9</c:v>
                </c:pt>
                <c:pt idx="3">
                  <c:v>177.76153846666662</c:v>
                </c:pt>
                <c:pt idx="4">
                  <c:v>176.63888889999998</c:v>
                </c:pt>
                <c:pt idx="5">
                  <c:v>175.6</c:v>
                </c:pt>
                <c:pt idx="6">
                  <c:v>175.0333333333333</c:v>
                </c:pt>
              </c:numCache>
            </c:numRef>
          </c:val>
          <c:extLst>
            <c:ext xmlns:c16="http://schemas.microsoft.com/office/drawing/2014/chart" uri="{C3380CC4-5D6E-409C-BE32-E72D297353CC}">
              <c16:uniqueId val="{00000000-E956-4075-885C-86DC8DFD9A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520253718285214"/>
          <c:y val="0.13535542432195977"/>
          <c:w val="0.33535301837270343"/>
          <c:h val="0.844913969087197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On Year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 2'!$B$6</c:f>
              <c:strCache>
                <c:ptCount val="1"/>
                <c:pt idx="0">
                  <c:v>Average Of General Index</c:v>
                </c:pt>
              </c:strCache>
            </c:strRef>
          </c:tx>
          <c:spPr>
            <a:solidFill>
              <a:schemeClr val="accent1"/>
            </a:solidFill>
            <a:ln>
              <a:noFill/>
            </a:ln>
            <a:effectLst/>
          </c:spPr>
          <c:invertIfNegative val="0"/>
          <c:cat>
            <c:numRef>
              <c:f>'Problem 2'!$A$7:$A$13</c:f>
              <c:numCache>
                <c:formatCode>General</c:formatCode>
                <c:ptCount val="7"/>
                <c:pt idx="0">
                  <c:v>2017</c:v>
                </c:pt>
                <c:pt idx="1">
                  <c:v>2018</c:v>
                </c:pt>
                <c:pt idx="2">
                  <c:v>2019</c:v>
                </c:pt>
                <c:pt idx="3">
                  <c:v>2020</c:v>
                </c:pt>
                <c:pt idx="4">
                  <c:v>2021</c:v>
                </c:pt>
                <c:pt idx="5">
                  <c:v>2022</c:v>
                </c:pt>
                <c:pt idx="6">
                  <c:v>2023</c:v>
                </c:pt>
              </c:numCache>
            </c:numRef>
          </c:cat>
          <c:val>
            <c:numRef>
              <c:f>'Problem 2'!$B$7:$B$13</c:f>
              <c:numCache>
                <c:formatCode>General</c:formatCode>
                <c:ptCount val="7"/>
                <c:pt idx="0">
                  <c:v>133.49999999999997</c:v>
                </c:pt>
                <c:pt idx="1">
                  <c:v>138.77500000000001</c:v>
                </c:pt>
                <c:pt idx="2">
                  <c:v>144.18181818181822</c:v>
                </c:pt>
                <c:pt idx="3">
                  <c:v>153.38</c:v>
                </c:pt>
                <c:pt idx="4">
                  <c:v>161.45833333333331</c:v>
                </c:pt>
                <c:pt idx="5">
                  <c:v>172.14999999999998</c:v>
                </c:pt>
                <c:pt idx="6">
                  <c:v>177.61999999999998</c:v>
                </c:pt>
              </c:numCache>
            </c:numRef>
          </c:val>
          <c:extLst>
            <c:ext xmlns:c16="http://schemas.microsoft.com/office/drawing/2014/chart" uri="{C3380CC4-5D6E-409C-BE32-E72D297353CC}">
              <c16:uniqueId val="{00000000-58F5-4CFC-9F14-4007F4A805D4}"/>
            </c:ext>
          </c:extLst>
        </c:ser>
        <c:dLbls>
          <c:showLegendKey val="0"/>
          <c:showVal val="0"/>
          <c:showCatName val="0"/>
          <c:showSerName val="0"/>
          <c:showPercent val="0"/>
          <c:showBubbleSize val="0"/>
        </c:dLbls>
        <c:gapWidth val="219"/>
        <c:overlap val="-27"/>
        <c:axId val="754804223"/>
        <c:axId val="754808543"/>
      </c:barChart>
      <c:lineChart>
        <c:grouping val="standard"/>
        <c:varyColors val="0"/>
        <c:ser>
          <c:idx val="1"/>
          <c:order val="1"/>
          <c:tx>
            <c:strRef>
              <c:f>'Problem 2'!$C$6</c:f>
              <c:strCache>
                <c:ptCount val="1"/>
                <c:pt idx="0">
                  <c:v>Year On Year Growth</c:v>
                </c:pt>
              </c:strCache>
            </c:strRef>
          </c:tx>
          <c:spPr>
            <a:ln w="28575" cap="rnd">
              <a:solidFill>
                <a:schemeClr val="accent2"/>
              </a:solidFill>
              <a:round/>
            </a:ln>
            <a:effectLst/>
          </c:spPr>
          <c:marker>
            <c:symbol val="none"/>
          </c:marker>
          <c:cat>
            <c:numRef>
              <c:f>'Problem 2'!$A$7:$A$13</c:f>
              <c:numCache>
                <c:formatCode>General</c:formatCode>
                <c:ptCount val="7"/>
                <c:pt idx="0">
                  <c:v>2017</c:v>
                </c:pt>
                <c:pt idx="1">
                  <c:v>2018</c:v>
                </c:pt>
                <c:pt idx="2">
                  <c:v>2019</c:v>
                </c:pt>
                <c:pt idx="3">
                  <c:v>2020</c:v>
                </c:pt>
                <c:pt idx="4">
                  <c:v>2021</c:v>
                </c:pt>
                <c:pt idx="5">
                  <c:v>2022</c:v>
                </c:pt>
                <c:pt idx="6">
                  <c:v>2023</c:v>
                </c:pt>
              </c:numCache>
            </c:numRef>
          </c:cat>
          <c:val>
            <c:numRef>
              <c:f>'Problem 2'!$C$7:$C$13</c:f>
              <c:numCache>
                <c:formatCode>0.00%</c:formatCode>
                <c:ptCount val="7"/>
                <c:pt idx="0">
                  <c:v>3.3300000000000003E-2</c:v>
                </c:pt>
                <c:pt idx="1">
                  <c:v>3.95E-2</c:v>
                </c:pt>
                <c:pt idx="2">
                  <c:v>3.9E-2</c:v>
                </c:pt>
                <c:pt idx="3">
                  <c:v>6.3799999999999996E-2</c:v>
                </c:pt>
                <c:pt idx="4">
                  <c:v>5.2699999999999997E-2</c:v>
                </c:pt>
                <c:pt idx="5">
                  <c:v>6.6199999999999995E-2</c:v>
                </c:pt>
                <c:pt idx="6">
                  <c:v>3.1800000000000002E-2</c:v>
                </c:pt>
              </c:numCache>
            </c:numRef>
          </c:val>
          <c:smooth val="0"/>
          <c:extLst>
            <c:ext xmlns:c16="http://schemas.microsoft.com/office/drawing/2014/chart" uri="{C3380CC4-5D6E-409C-BE32-E72D297353CC}">
              <c16:uniqueId val="{00000001-58F5-4CFC-9F14-4007F4A805D4}"/>
            </c:ext>
          </c:extLst>
        </c:ser>
        <c:dLbls>
          <c:showLegendKey val="0"/>
          <c:showVal val="0"/>
          <c:showCatName val="0"/>
          <c:showSerName val="0"/>
          <c:showPercent val="0"/>
          <c:showBubbleSize val="0"/>
        </c:dLbls>
        <c:marker val="1"/>
        <c:smooth val="0"/>
        <c:axId val="754803743"/>
        <c:axId val="754799423"/>
      </c:lineChart>
      <c:catAx>
        <c:axId val="75480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08543"/>
        <c:crosses val="autoZero"/>
        <c:auto val="1"/>
        <c:lblAlgn val="ctr"/>
        <c:lblOffset val="100"/>
        <c:noMultiLvlLbl val="0"/>
      </c:catAx>
      <c:valAx>
        <c:axId val="75480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04223"/>
        <c:crosses val="autoZero"/>
        <c:crossBetween val="between"/>
      </c:valAx>
      <c:valAx>
        <c:axId val="75479942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03743"/>
        <c:crosses val="max"/>
        <c:crossBetween val="between"/>
      </c:valAx>
      <c:catAx>
        <c:axId val="754803743"/>
        <c:scaling>
          <c:orientation val="minMax"/>
        </c:scaling>
        <c:delete val="1"/>
        <c:axPos val="b"/>
        <c:numFmt formatCode="General" sourceLinked="1"/>
        <c:majorTickMark val="none"/>
        <c:minorTickMark val="none"/>
        <c:tickLblPos val="nextTo"/>
        <c:crossAx val="754799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On Month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 3'!$C$5</c:f>
              <c:strCache>
                <c:ptCount val="1"/>
                <c:pt idx="0">
                  <c:v>Food And Bevrages</c:v>
                </c:pt>
              </c:strCache>
            </c:strRef>
          </c:tx>
          <c:spPr>
            <a:solidFill>
              <a:schemeClr val="accent1"/>
            </a:solidFill>
            <a:ln>
              <a:noFill/>
            </a:ln>
            <a:effectLst/>
          </c:spPr>
          <c:invertIfNegative val="0"/>
          <c:cat>
            <c:multiLvlStrRef>
              <c:f>'Problem 3'!$A$6:$B$17</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f>'Problem 3'!$C$6:$C$17</c:f>
              <c:numCache>
                <c:formatCode>General</c:formatCode>
                <c:ptCount val="12"/>
                <c:pt idx="0">
                  <c:v>174.29999999999998</c:v>
                </c:pt>
                <c:pt idx="1">
                  <c:v>174.62564103333332</c:v>
                </c:pt>
                <c:pt idx="2">
                  <c:v>174.83846153333334</c:v>
                </c:pt>
                <c:pt idx="3">
                  <c:v>175.77179486666668</c:v>
                </c:pt>
                <c:pt idx="4">
                  <c:v>177.02820510000001</c:v>
                </c:pt>
                <c:pt idx="5">
                  <c:v>176.8948718</c:v>
                </c:pt>
                <c:pt idx="6">
                  <c:v>175.80256410000001</c:v>
                </c:pt>
                <c:pt idx="7">
                  <c:v>176.56666666666669</c:v>
                </c:pt>
                <c:pt idx="8">
                  <c:v>175.58974360000002</c:v>
                </c:pt>
                <c:pt idx="9">
                  <c:v>175.60000000000002</c:v>
                </c:pt>
                <c:pt idx="10">
                  <c:v>176.44871793333334</c:v>
                </c:pt>
                <c:pt idx="11">
                  <c:v>177.76153846666668</c:v>
                </c:pt>
              </c:numCache>
            </c:numRef>
          </c:val>
          <c:extLst>
            <c:ext xmlns:c16="http://schemas.microsoft.com/office/drawing/2014/chart" uri="{C3380CC4-5D6E-409C-BE32-E72D297353CC}">
              <c16:uniqueId val="{00000000-A4F4-42D8-AC4F-0729A0DB6B2E}"/>
            </c:ext>
          </c:extLst>
        </c:ser>
        <c:dLbls>
          <c:showLegendKey val="0"/>
          <c:showVal val="0"/>
          <c:showCatName val="0"/>
          <c:showSerName val="0"/>
          <c:showPercent val="0"/>
          <c:showBubbleSize val="0"/>
        </c:dLbls>
        <c:gapWidth val="219"/>
        <c:overlap val="-27"/>
        <c:axId val="754815263"/>
        <c:axId val="754815743"/>
      </c:barChart>
      <c:lineChart>
        <c:grouping val="standard"/>
        <c:varyColors val="0"/>
        <c:ser>
          <c:idx val="1"/>
          <c:order val="1"/>
          <c:tx>
            <c:strRef>
              <c:f>'Problem 3'!$D$5</c:f>
              <c:strCache>
                <c:ptCount val="1"/>
                <c:pt idx="0">
                  <c:v>Month On Month Change</c:v>
                </c:pt>
              </c:strCache>
            </c:strRef>
          </c:tx>
          <c:spPr>
            <a:ln w="28575" cap="rnd">
              <a:solidFill>
                <a:schemeClr val="accent2"/>
              </a:solidFill>
              <a:round/>
            </a:ln>
            <a:effectLst/>
          </c:spPr>
          <c:marker>
            <c:symbol val="none"/>
          </c:marker>
          <c:cat>
            <c:multiLvlStrRef>
              <c:f>'Problem 3'!$A$6:$B$17</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f>'Problem 3'!$D$6:$D$17</c:f>
              <c:numCache>
                <c:formatCode>0.00%</c:formatCode>
                <c:ptCount val="12"/>
                <c:pt idx="0">
                  <c:v>1.04E-2</c:v>
                </c:pt>
                <c:pt idx="1">
                  <c:v>1.9E-3</c:v>
                </c:pt>
                <c:pt idx="2">
                  <c:v>1.1999999999999999E-3</c:v>
                </c:pt>
                <c:pt idx="3">
                  <c:v>5.3E-3</c:v>
                </c:pt>
                <c:pt idx="4">
                  <c:v>7.1000000000000004E-3</c:v>
                </c:pt>
                <c:pt idx="5">
                  <c:v>-8.0000000000000004E-4</c:v>
                </c:pt>
                <c:pt idx="6">
                  <c:v>-6.1999999999999998E-3</c:v>
                </c:pt>
                <c:pt idx="7">
                  <c:v>4.3E-3</c:v>
                </c:pt>
                <c:pt idx="8">
                  <c:v>-5.4999999999999997E-3</c:v>
                </c:pt>
                <c:pt idx="9">
                  <c:v>1E-4</c:v>
                </c:pt>
                <c:pt idx="10">
                  <c:v>4.7999999999999996E-3</c:v>
                </c:pt>
                <c:pt idx="11">
                  <c:v>7.4000000000000003E-3</c:v>
                </c:pt>
              </c:numCache>
            </c:numRef>
          </c:val>
          <c:smooth val="0"/>
          <c:extLst>
            <c:ext xmlns:c16="http://schemas.microsoft.com/office/drawing/2014/chart" uri="{C3380CC4-5D6E-409C-BE32-E72D297353CC}">
              <c16:uniqueId val="{00000001-A4F4-42D8-AC4F-0729A0DB6B2E}"/>
            </c:ext>
          </c:extLst>
        </c:ser>
        <c:dLbls>
          <c:showLegendKey val="0"/>
          <c:showVal val="0"/>
          <c:showCatName val="0"/>
          <c:showSerName val="0"/>
          <c:showPercent val="0"/>
          <c:showBubbleSize val="0"/>
        </c:dLbls>
        <c:marker val="1"/>
        <c:smooth val="0"/>
        <c:axId val="754800863"/>
        <c:axId val="754817183"/>
      </c:lineChart>
      <c:catAx>
        <c:axId val="75481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15743"/>
        <c:crosses val="autoZero"/>
        <c:auto val="1"/>
        <c:lblAlgn val="ctr"/>
        <c:lblOffset val="100"/>
        <c:noMultiLvlLbl val="0"/>
      </c:catAx>
      <c:valAx>
        <c:axId val="75481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15263"/>
        <c:crosses val="autoZero"/>
        <c:crossBetween val="between"/>
      </c:valAx>
      <c:valAx>
        <c:axId val="75481718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00863"/>
        <c:crosses val="max"/>
        <c:crossBetween val="between"/>
      </c:valAx>
      <c:catAx>
        <c:axId val="754800863"/>
        <c:scaling>
          <c:orientation val="minMax"/>
        </c:scaling>
        <c:delete val="1"/>
        <c:axPos val="b"/>
        <c:numFmt formatCode="General" sourceLinked="1"/>
        <c:majorTickMark val="none"/>
        <c:minorTickMark val="none"/>
        <c:tickLblPos val="nextTo"/>
        <c:crossAx val="7548171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Essential CPI Inflation %</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75000"/>
                  <a:lumOff val="25000"/>
                </a:sysClr>
              </a:solidFill>
              <a:latin typeface="Calibri" panose="020F0502020204030204"/>
            </a:rPr>
            <a:t>Essential CPI Inflation %</a:t>
          </a:r>
        </a:p>
      </cx:txPr>
    </cx:title>
    <cx:plotArea>
      <cx:plotAreaRegion>
        <cx:series layoutId="waterfall" uniqueId="{488B81D6-2928-4D3F-A34E-DB38E4C7BE00}">
          <cx:tx>
            <cx:txData>
              <cx:f>_xlchart.v1.1</cx:f>
              <cx:v>Inflation%</cx:v>
            </cx:txData>
          </cx:tx>
          <cx:dataLabels pos="outEnd">
            <cx:visibility seriesName="0" categoryName="0" value="1"/>
          </cx:dataLabels>
          <cx:dataId val="0"/>
          <cx:layoutPr>
            <cx:visibility connectorLines="0"/>
            <cx:subtotals/>
          </cx:layoutPr>
        </cx:series>
      </cx:plotAreaRegion>
      <cx:axis id="0">
        <cx:catScaling gapWidth="0.25"/>
        <cx:tickLabels/>
      </cx:axis>
      <cx:axis id="1" hidden="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269875</xdr:colOff>
      <xdr:row>4</xdr:row>
      <xdr:rowOff>6350</xdr:rowOff>
    </xdr:from>
    <xdr:to>
      <xdr:col>10</xdr:col>
      <xdr:colOff>574675</xdr:colOff>
      <xdr:row>18</xdr:row>
      <xdr:rowOff>171450</xdr:rowOff>
    </xdr:to>
    <xdr:graphicFrame macro="">
      <xdr:nvGraphicFramePr>
        <xdr:cNvPr id="5" name="Chart 4">
          <a:extLst>
            <a:ext uri="{FF2B5EF4-FFF2-40B4-BE49-F238E27FC236}">
              <a16:creationId xmlns:a16="http://schemas.microsoft.com/office/drawing/2014/main" id="{8678D746-D600-0EC0-8C7C-3A279C7CD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396875</xdr:colOff>
      <xdr:row>2</xdr:row>
      <xdr:rowOff>0</xdr:rowOff>
    </xdr:from>
    <xdr:to>
      <xdr:col>11</xdr:col>
      <xdr:colOff>92075</xdr:colOff>
      <xdr:row>16</xdr:row>
      <xdr:rowOff>165100</xdr:rowOff>
    </xdr:to>
    <xdr:graphicFrame macro="">
      <xdr:nvGraphicFramePr>
        <xdr:cNvPr id="2" name="Chart 1">
          <a:extLst>
            <a:ext uri="{FF2B5EF4-FFF2-40B4-BE49-F238E27FC236}">
              <a16:creationId xmlns:a16="http://schemas.microsoft.com/office/drawing/2014/main" id="{FE0D510C-B858-4082-0822-2CE043465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219075</xdr:colOff>
      <xdr:row>3</xdr:row>
      <xdr:rowOff>82550</xdr:rowOff>
    </xdr:from>
    <xdr:to>
      <xdr:col>11</xdr:col>
      <xdr:colOff>523875</xdr:colOff>
      <xdr:row>18</xdr:row>
      <xdr:rowOff>63500</xdr:rowOff>
    </xdr:to>
    <xdr:graphicFrame macro="">
      <xdr:nvGraphicFramePr>
        <xdr:cNvPr id="2" name="Chart 1">
          <a:extLst>
            <a:ext uri="{FF2B5EF4-FFF2-40B4-BE49-F238E27FC236}">
              <a16:creationId xmlns:a16="http://schemas.microsoft.com/office/drawing/2014/main" id="{5F1016A6-9FF2-4CB6-4DBA-F0F0806D4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17</xdr:row>
      <xdr:rowOff>0</xdr:rowOff>
    </xdr:from>
    <xdr:to>
      <xdr:col>5</xdr:col>
      <xdr:colOff>793749</xdr:colOff>
      <xdr:row>36</xdr:row>
      <xdr:rowOff>12700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C98EA6F-86BD-7CCE-695D-9ECFE34789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130550"/>
              <a:ext cx="8108949" cy="3511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7AEEEC-5368-42DD-992A-FE23828D5A2B}" name="Table2" displayName="Table2" ref="A1:AD373" totalsRowShown="0">
  <autoFilter ref="A1:AD373" xr:uid="{8C7AEEEC-5368-42DD-992A-FE23828D5A2B}"/>
  <tableColumns count="30">
    <tableColumn id="1" xr3:uid="{C89A6586-BA4D-4CF9-B3B6-82D2A2B35BC7}" name="Sector"/>
    <tableColumn id="2" xr3:uid="{104E32F4-6D1C-462E-84D3-165761221287}" name="Year"/>
    <tableColumn id="3" xr3:uid="{96F51109-6884-49ED-B15F-7CCDE6101543}" name="Month"/>
    <tableColumn id="4" xr3:uid="{F1EC2997-641A-43C2-ACA2-9AFAC83ECE2B}" name="Cereals and products"/>
    <tableColumn id="5" xr3:uid="{154E9D48-2B9A-4EDC-8474-A43C3A53BC08}" name="Meat and fish"/>
    <tableColumn id="6" xr3:uid="{36834CD4-F52B-4755-A9AF-38C49B37027F}" name="Egg"/>
    <tableColumn id="7" xr3:uid="{676C5AD5-29CF-40F4-89BC-71999028B476}" name="Milk and products"/>
    <tableColumn id="8" xr3:uid="{673E4D63-E000-43FA-BCA5-A2553B76103E}" name="Oils and fats"/>
    <tableColumn id="9" xr3:uid="{17720B1E-5545-469C-BD67-DFD8D3015926}" name="Fruits"/>
    <tableColumn id="10" xr3:uid="{EB7F8AFF-EF9E-4CCD-A732-51D923F23F65}" name="Vegetables"/>
    <tableColumn id="11" xr3:uid="{E10D51DF-99B7-4841-B88D-A225D27371B3}" name="Pulses and products"/>
    <tableColumn id="12" xr3:uid="{7E0978CA-9041-4A79-A6A4-3A70CAFF85B4}" name="Sugar and Confectionery"/>
    <tableColumn id="13" xr3:uid="{5D19CA06-F87D-4109-B5E9-A3692F3C9367}" name="Spices"/>
    <tableColumn id="14" xr3:uid="{934D3592-FF8F-47CF-ADF2-777F3D1DBF26}" name="Non-alcoholic beverages"/>
    <tableColumn id="15" xr3:uid="{46D9C7C1-011B-4ADE-9335-65FF799EF745}" name="Prepared meals, snacks, sweets etc."/>
    <tableColumn id="16" xr3:uid="{2E4334C8-52F0-4133-BBAD-276CE773D5E9}" name="Food and beverages"/>
    <tableColumn id="17" xr3:uid="{ED636A11-EC58-4353-9594-B7ECBA4C8304}" name="Pan, tobacco and intoxicants"/>
    <tableColumn id="18" xr3:uid="{155FF105-4E9E-4822-85C3-AF5408C0E83F}" name="Clothing"/>
    <tableColumn id="19" xr3:uid="{A33E5AA5-AA3D-444E-8C73-40B30CB40B35}" name="Footwear"/>
    <tableColumn id="20" xr3:uid="{C1325A7F-7284-48FF-89E6-DEF828407E84}" name="Clothing and footwear"/>
    <tableColumn id="21" xr3:uid="{B1C65827-4CFB-4DCF-AB84-087220C2099A}" name="Housing"/>
    <tableColumn id="22" xr3:uid="{E8EB1649-AEBD-401D-890C-D89A021A775D}" name="Fuel and light"/>
    <tableColumn id="23" xr3:uid="{EFA037D2-E03D-49B8-B3E8-D3F9596CF75E}" name="Household goods and services"/>
    <tableColumn id="24" xr3:uid="{A9006F36-AFA6-498A-A696-E746722F1D12}" name="Health"/>
    <tableColumn id="25" xr3:uid="{F9B40097-9CCB-4987-BFFF-31BD6D24B7E2}" name="Transport and communication"/>
    <tableColumn id="26" xr3:uid="{BA3E0180-985F-4DC6-9DC0-34CC7F294171}" name="Recreation and amusement"/>
    <tableColumn id="27" xr3:uid="{F8A295A5-34C5-4179-A2A7-3CA4BC4731C8}" name="Education"/>
    <tableColumn id="28" xr3:uid="{C84C9A8B-A516-4D13-90A8-63C17FCC1AC3}" name="Personal care and effects"/>
    <tableColumn id="29" xr3:uid="{B016C5CA-6BE1-4389-B283-54FBF15E5CC0}" name="Miscellaneous"/>
    <tableColumn id="30" xr3:uid="{402AF258-63B4-495C-AF5E-1B732D92AAD2}"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384C93-F91E-4501-87AA-F893CE1D222D}" name="Table1" displayName="Table1" ref="A1:K373" totalsRowShown="0">
  <autoFilter ref="A1:K373" xr:uid="{A5384C93-F91E-4501-87AA-F893CE1D222D}"/>
  <tableColumns count="11">
    <tableColumn id="1" xr3:uid="{5D195E1D-8856-43A8-B4B3-46AE578B6220}" name="Sector"/>
    <tableColumn id="2" xr3:uid="{F14CC53D-A984-47C8-8B80-3ED43BE468D9}" name="Year"/>
    <tableColumn id="3" xr3:uid="{DB422246-72FB-4DDE-AD1E-51613071091C}" name="Month"/>
    <tableColumn id="4" xr3:uid="{45CFE4E4-DB8A-42B7-997E-CEAF98D5F391}" name="Food And Beverages"/>
    <tableColumn id="5" xr3:uid="{93CDECF4-1D3D-4C34-92CE-54557A068BF7}" name="Pan, tobacco and intoxicants"/>
    <tableColumn id="6" xr3:uid="{6DE44F0E-E813-4DD1-8E40-FB667F2D2A75}" name="Clothing And Footwear"/>
    <tableColumn id="7" xr3:uid="{39D18B49-974D-42C8-BD45-7D76A68ED3D5}" name="Housing"/>
    <tableColumn id="8" xr3:uid="{963D2EC0-DCBF-461A-BE0D-814E6B791E55}" name="Fuel and light"/>
    <tableColumn id="9" xr3:uid="{D00AD6B7-C1DB-47F0-BC24-1B16AAE508CB}" name="Household goods and services"/>
    <tableColumn id="10" xr3:uid="{7F400BE6-99B6-4A16-B743-2CB2F1D58838}" name="Miscellaneous"/>
    <tableColumn id="11" xr3:uid="{47A95156-293B-4F64-A155-032392066719}" name="General index"/>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E61212-8EF3-4462-A522-25351B537FA8}" name="Table4" displayName="Table4" ref="A7:C14" totalsRowShown="0" headerRowDxfId="73" dataDxfId="71" headerRowBorderDxfId="72" tableBorderDxfId="70" totalsRowBorderDxfId="69">
  <autoFilter ref="A7:C14" xr:uid="{7FE61212-8EF3-4462-A522-25351B537FA8}"/>
  <sortState xmlns:xlrd2="http://schemas.microsoft.com/office/spreadsheetml/2017/richdata2" ref="A8:C14">
    <sortCondition descending="1" ref="C7:C14"/>
  </sortState>
  <tableColumns count="3">
    <tableColumn id="1" xr3:uid="{526B762A-89A1-4DF0-BEB3-11A007C7A587}" name="Category" dataDxfId="68"/>
    <tableColumn id="2" xr3:uid="{B50FBC7C-71E1-4F8E-B4C8-B6A64215C579}" name="Average Total" dataDxfId="67"/>
    <tableColumn id="3" xr3:uid="{748FCF73-4320-4A9B-814D-4996EADEA4CA}" name="% Total" dataDxfId="66">
      <calculatedColumnFormula>SUM(B8)/SUM($B$8:$B$14)</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14DA3B-8A43-4AA5-9769-91AFCEC7CA5D}" name="Table7" displayName="Table7" ref="A6:C13" totalsRowShown="0" headerRowDxfId="65" dataDxfId="63" headerRowBorderDxfId="64" tableBorderDxfId="62" totalsRowBorderDxfId="61">
  <autoFilter ref="A6:C13" xr:uid="{7B14DA3B-8A43-4AA5-9769-91AFCEC7CA5D}"/>
  <sortState xmlns:xlrd2="http://schemas.microsoft.com/office/spreadsheetml/2017/richdata2" ref="A7:C13">
    <sortCondition ref="A6:A13"/>
  </sortState>
  <tableColumns count="3">
    <tableColumn id="1" xr3:uid="{3E75D5E3-13BE-4C39-80CF-8F6944FA502A}" name="Year" dataDxfId="60"/>
    <tableColumn id="2" xr3:uid="{053DF5C0-FCCF-4CC0-A33C-71C097A5662C}" name="Average Of General Index" dataDxfId="59"/>
    <tableColumn id="3" xr3:uid="{F0D2238E-D142-40D1-9F4B-24A0EF250094}" name="Year On Year Growth" dataDxfId="5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09901F2-6D8D-4FAE-9614-252C7AC1117D}" name="Table10" displayName="Table10" ref="A5:D17" totalsRowShown="0" headerRowDxfId="57" dataDxfId="55" headerRowBorderDxfId="56" tableBorderDxfId="54" totalsRowBorderDxfId="53">
  <autoFilter ref="A5:D17" xr:uid="{C09901F2-6D8D-4FAE-9614-252C7AC1117D}"/>
  <sortState xmlns:xlrd2="http://schemas.microsoft.com/office/spreadsheetml/2017/richdata2" ref="A6:D17">
    <sortCondition ref="A5:A17"/>
  </sortState>
  <tableColumns count="4">
    <tableColumn id="1" xr3:uid="{5CF0A8C2-07E3-4369-908A-F8CE1FF93A38}" name="Year" dataDxfId="52"/>
    <tableColumn id="2" xr3:uid="{27A90C13-9BF1-45E1-A22C-24C955B1175D}" name="Month" dataDxfId="51"/>
    <tableColumn id="3" xr3:uid="{DFB5788B-6785-49D7-B1E9-0018CED27673}" name="Food And Bevrages" dataDxfId="50"/>
    <tableColumn id="4" xr3:uid="{3A0AF96B-B6BF-4299-B3D6-0C0EFA6FE1FA}" name="Month On Month Change" dataDxfId="49"/>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A0BEDA-2994-4271-B8B5-8D7D8265FBD0}" name="Table3" displayName="Table3" ref="A22:N38" totalsRowShown="0" headerRowDxfId="48" dataDxfId="47">
  <autoFilter ref="A22:N38" xr:uid="{09A0BEDA-2994-4271-B8B5-8D7D8265FBD0}"/>
  <tableColumns count="14">
    <tableColumn id="1" xr3:uid="{C7A24852-C579-4A05-B6C7-6CD07D0AB6C7}" name="Row Labels" dataDxfId="46"/>
    <tableColumn id="2" xr3:uid="{7231B75E-D0FD-47C5-8156-9BEF996B4F00}" name="Average of Cereals and products" dataDxfId="45"/>
    <tableColumn id="3" xr3:uid="{540E2A20-3B9B-4C68-B2FF-8B92381C64F5}" name="Average of Food and beverages" dataDxfId="44"/>
    <tableColumn id="4" xr3:uid="{3E69A7F9-39CB-4D79-8B7C-E12A6AB0E7E1}" name="Average of Prepared meals, snacks, sweets etc." dataDxfId="43"/>
    <tableColumn id="5" xr3:uid="{F0484BFA-45C2-430E-9608-E00F39C2844E}" name="Average of Non-alcoholic beverages" dataDxfId="42"/>
    <tableColumn id="6" xr3:uid="{E79DAA8B-59C0-4F89-A00A-206BB346E8F5}" name="Average of Spices" dataDxfId="41"/>
    <tableColumn id="7" xr3:uid="{402600C3-8130-4BB1-9784-D31C97BA465F}" name="Average of Sugar and Confectionery" dataDxfId="40"/>
    <tableColumn id="8" xr3:uid="{CDFC9503-CEC6-404A-9014-71132649EEE7}" name="Average of Pulses and products" dataDxfId="39"/>
    <tableColumn id="9" xr3:uid="{12274CF2-C22A-456C-AE5E-8F61315CC883}" name="Average of Vegetables" dataDxfId="38"/>
    <tableColumn id="10" xr3:uid="{94E6DBE2-8514-4D87-A280-C5455C73230C}" name="Average of Fruits" dataDxfId="37"/>
    <tableColumn id="11" xr3:uid="{188659A9-CD62-4BF4-9845-9D341477E245}" name="Average of Oils and fats" dataDxfId="36"/>
    <tableColumn id="12" xr3:uid="{3A66A1A0-FF55-4CDA-839C-9CECA3B0DCE3}" name="Average of Milk and products" dataDxfId="35"/>
    <tableColumn id="13" xr3:uid="{39858FE9-9C97-4A57-9F74-9155A3D78731}" name="Average of Egg" dataDxfId="34"/>
    <tableColumn id="14" xr3:uid="{94BF667A-37F6-4A75-84A8-238DFF6C0AF3}" name="Average of Meat and fish" dataDxfId="33"/>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592F11-5CE7-4E35-B7D1-9BFD926F1CFE}" name="Table6" displayName="Table6" ref="A4:F16" totalsRowShown="0" headerRowDxfId="32" dataDxfId="30" headerRowBorderDxfId="31" tableBorderDxfId="29" totalsRowBorderDxfId="28">
  <autoFilter ref="A4:F16" xr:uid="{CF592F11-5CE7-4E35-B7D1-9BFD926F1CFE}"/>
  <tableColumns count="6">
    <tableColumn id="1" xr3:uid="{4B1F9A23-FD47-4ECC-8480-34CE807B995E}" name="Row Labels" dataDxfId="27"/>
    <tableColumn id="2" xr3:uid="{D43A3D97-CC69-4EC3-870E-6514AE62C1FB}" name="Average of Food And Beverages" dataDxfId="26"/>
    <tableColumn id="3" xr3:uid="{52ADD4F8-E8CC-4D01-A009-7415274BA7A4}" name="Average of Miscellaneous" dataDxfId="25"/>
    <tableColumn id="4" xr3:uid="{04EA9205-0339-4430-890C-4CF10951B0A1}" name="Average of Housing" dataDxfId="24"/>
    <tableColumn id="5" xr3:uid="{4D176843-C848-4498-B2D1-61B321BF8F08}" name="Average Of Essentials" dataDxfId="23"/>
    <tableColumn id="6" xr3:uid="{8994CBA1-2139-4DF8-AAB6-D5941DA95F40}" name="Inflation%" dataDxfId="22"/>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94454F-0ADD-4E73-A475-FE91670FD941}" name="Table9" displayName="Table9" ref="A5:I17" totalsRowShown="0" headerRowDxfId="21" dataDxfId="19" headerRowBorderDxfId="20" tableBorderDxfId="18" totalsRowBorderDxfId="17">
  <autoFilter ref="A5:I17" xr:uid="{A294454F-0ADD-4E73-A475-FE91670FD941}"/>
  <tableColumns count="9">
    <tableColumn id="1" xr3:uid="{43213C10-D86E-4F44-9312-F268BD5B5964}" name="Row Labels" dataDxfId="16"/>
    <tableColumn id="2" xr3:uid="{E59C07C9-F6B6-440A-A4C2-3178F0EC624F}" name="Average of Food And Beverages" dataDxfId="15"/>
    <tableColumn id="3" xr3:uid="{A6DD0FFA-AFCC-46DD-9C92-9CDEF7D8E00C}" name="Average of Miscellaneous" dataDxfId="14"/>
    <tableColumn id="4" xr3:uid="{F734039B-3EBB-42FF-A569-CAF0BCD1B0B5}" name="Average of Household goods and services" dataDxfId="13"/>
    <tableColumn id="5" xr3:uid="{F2BEFEF5-926C-4CB5-A15C-C6FAE9547D84}" name="Average of Fuel and light" dataDxfId="12"/>
    <tableColumn id="6" xr3:uid="{C63077E1-BBA3-4CB1-B49C-FE9F5A926D13}" name="Average of Housing" dataDxfId="11"/>
    <tableColumn id="7" xr3:uid="{74582455-BBA1-4DF6-9E46-33E50E0DEF21}" name="Average of Clothing And Footwear" dataDxfId="10"/>
    <tableColumn id="8" xr3:uid="{EA3791E2-1C50-4993-9F37-A81AE7F65B28}" name="Average of Pan, tobacco and intoxicants" dataDxfId="9"/>
    <tableColumn id="10" xr3:uid="{751935AD-8735-4D7B-A2E0-F0D5A12EDAFB}" name="Oil Price (USD/BBL)" dataDxfId="8"/>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9DEDF47-D674-4F9B-BF55-44F32EA0DABF}" name="Table11" displayName="Table11" ref="A20:C27" totalsRowShown="0" headerRowDxfId="7" dataDxfId="5" headerRowBorderDxfId="6" tableBorderDxfId="4" totalsRowBorderDxfId="3">
  <autoFilter ref="A20:C27" xr:uid="{39DEDF47-D674-4F9B-BF55-44F32EA0DABF}"/>
  <tableColumns count="3">
    <tableColumn id="1" xr3:uid="{69A9F226-A4B3-4940-8487-077335B312FD}" name="Category" dataDxfId="2"/>
    <tableColumn id="2" xr3:uid="{CF092E94-D0AF-4BE4-8577-94865F43F9B7}" name="Corelation" dataDxfId="1"/>
    <tableColumn id="3" xr3:uid="{8B4A62CC-569D-445D-BDDE-451F1F42E11C}" name="Impact Of Oil Pric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9ED3A-CA05-4E03-AEF5-478FAD0F8AD0}">
  <dimension ref="A1:A37"/>
  <sheetViews>
    <sheetView zoomScaleNormal="100" workbookViewId="0">
      <selection activeCell="G3" sqref="G3"/>
    </sheetView>
  </sheetViews>
  <sheetFormatPr defaultRowHeight="15.5" x14ac:dyDescent="0.35"/>
  <cols>
    <col min="1" max="16384" width="8.7265625" style="35"/>
  </cols>
  <sheetData>
    <row r="1" spans="1:1" x14ac:dyDescent="0.35">
      <c r="A1" s="12" t="s">
        <v>188</v>
      </c>
    </row>
    <row r="2" spans="1:1" x14ac:dyDescent="0.35">
      <c r="A2" s="1" t="s">
        <v>189</v>
      </c>
    </row>
    <row r="3" spans="1:1" x14ac:dyDescent="0.35">
      <c r="A3" s="1" t="s">
        <v>190</v>
      </c>
    </row>
    <row r="4" spans="1:1" x14ac:dyDescent="0.35">
      <c r="A4" s="1"/>
    </row>
    <row r="5" spans="1:1" x14ac:dyDescent="0.35">
      <c r="A5" s="36" t="s">
        <v>156</v>
      </c>
    </row>
    <row r="6" spans="1:1" x14ac:dyDescent="0.35">
      <c r="A6" s="36" t="s">
        <v>157</v>
      </c>
    </row>
    <row r="7" spans="1:1" x14ac:dyDescent="0.35">
      <c r="A7" s="34" t="s">
        <v>158</v>
      </c>
    </row>
    <row r="9" spans="1:1" x14ac:dyDescent="0.35">
      <c r="A9" s="34" t="s">
        <v>159</v>
      </c>
    </row>
    <row r="10" spans="1:1" x14ac:dyDescent="0.35">
      <c r="A10" s="34" t="s">
        <v>160</v>
      </c>
    </row>
    <row r="11" spans="1:1" x14ac:dyDescent="0.35">
      <c r="A11" s="34" t="s">
        <v>161</v>
      </c>
    </row>
    <row r="12" spans="1:1" x14ac:dyDescent="0.35">
      <c r="A12" s="34" t="s">
        <v>162</v>
      </c>
    </row>
    <row r="13" spans="1:1" x14ac:dyDescent="0.35">
      <c r="A13" s="36" t="s">
        <v>163</v>
      </c>
    </row>
    <row r="14" spans="1:1" x14ac:dyDescent="0.35">
      <c r="A14" s="36" t="s">
        <v>164</v>
      </c>
    </row>
    <row r="15" spans="1:1" x14ac:dyDescent="0.35">
      <c r="A15" s="34" t="s">
        <v>165</v>
      </c>
    </row>
    <row r="16" spans="1:1" x14ac:dyDescent="0.35">
      <c r="A16" s="36" t="s">
        <v>166</v>
      </c>
    </row>
    <row r="17" spans="1:1" x14ac:dyDescent="0.35">
      <c r="A17" s="34" t="s">
        <v>167</v>
      </c>
    </row>
    <row r="19" spans="1:1" x14ac:dyDescent="0.35">
      <c r="A19" s="36" t="s">
        <v>168</v>
      </c>
    </row>
    <row r="20" spans="1:1" x14ac:dyDescent="0.35">
      <c r="A20" s="34" t="s">
        <v>169</v>
      </c>
    </row>
    <row r="21" spans="1:1" x14ac:dyDescent="0.35">
      <c r="A21" s="34" t="s">
        <v>170</v>
      </c>
    </row>
    <row r="22" spans="1:1" x14ac:dyDescent="0.35">
      <c r="A22" s="34" t="s">
        <v>171</v>
      </c>
    </row>
    <row r="23" spans="1:1" x14ac:dyDescent="0.35">
      <c r="A23" s="34"/>
    </row>
    <row r="24" spans="1:1" x14ac:dyDescent="0.35">
      <c r="A24" s="36" t="s">
        <v>172</v>
      </c>
    </row>
    <row r="25" spans="1:1" x14ac:dyDescent="0.35">
      <c r="A25" s="37" t="s">
        <v>176</v>
      </c>
    </row>
    <row r="26" spans="1:1" x14ac:dyDescent="0.35">
      <c r="A26" s="37" t="s">
        <v>177</v>
      </c>
    </row>
    <row r="28" spans="1:1" x14ac:dyDescent="0.35">
      <c r="A28" s="38" t="s">
        <v>178</v>
      </c>
    </row>
    <row r="29" spans="1:1" x14ac:dyDescent="0.35">
      <c r="A29" s="37" t="s">
        <v>173</v>
      </c>
    </row>
    <row r="30" spans="1:1" x14ac:dyDescent="0.35">
      <c r="A30" s="37" t="s">
        <v>174</v>
      </c>
    </row>
    <row r="32" spans="1:1" x14ac:dyDescent="0.35">
      <c r="A32" s="38" t="s">
        <v>179</v>
      </c>
    </row>
    <row r="33" spans="1:1" x14ac:dyDescent="0.35">
      <c r="A33" s="37" t="s">
        <v>175</v>
      </c>
    </row>
    <row r="35" spans="1:1" x14ac:dyDescent="0.35">
      <c r="A35" s="38" t="s">
        <v>182</v>
      </c>
    </row>
    <row r="36" spans="1:1" x14ac:dyDescent="0.35">
      <c r="A36" s="37" t="s">
        <v>181</v>
      </c>
    </row>
    <row r="37" spans="1:1" x14ac:dyDescent="0.35">
      <c r="A37" s="37" t="s">
        <v>180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EF828-D29A-4235-899F-D65F5FFEF419}">
  <dimension ref="A1:AD373"/>
  <sheetViews>
    <sheetView workbookViewId="0">
      <selection activeCell="G1" sqref="G1"/>
    </sheetView>
  </sheetViews>
  <sheetFormatPr defaultRowHeight="14.5" x14ac:dyDescent="0.35"/>
  <cols>
    <col min="1" max="1" width="11.36328125" bestFit="1" customWidth="1"/>
    <col min="2" max="2" width="6.81640625" bestFit="1" customWidth="1"/>
    <col min="3" max="3" width="10" bestFit="1" customWidth="1"/>
    <col min="4" max="4" width="20.90625" bestFit="1" customWidth="1"/>
    <col min="5" max="5" width="14.6328125" bestFit="1" customWidth="1"/>
    <col min="6" max="6" width="5.90625" bestFit="1" customWidth="1"/>
    <col min="7" max="7" width="18.36328125" bestFit="1" customWidth="1"/>
    <col min="8" max="8" width="13.453125" bestFit="1" customWidth="1"/>
    <col min="9" max="9" width="7.81640625" bestFit="1" customWidth="1"/>
    <col min="10" max="10" width="12.26953125" bestFit="1" customWidth="1"/>
    <col min="11" max="11" width="20.08984375" bestFit="1" customWidth="1"/>
    <col min="12" max="12" width="23.81640625" bestFit="1" customWidth="1"/>
    <col min="13" max="13" width="8.1796875" bestFit="1" customWidth="1"/>
    <col min="14" max="14" width="23.6328125" bestFit="1" customWidth="1"/>
    <col min="15" max="15" width="33.54296875" bestFit="1" customWidth="1"/>
    <col min="16" max="16" width="20" bestFit="1" customWidth="1"/>
    <col min="17" max="17" width="27.54296875" bestFit="1" customWidth="1"/>
    <col min="18" max="18" width="10" bestFit="1" customWidth="1"/>
    <col min="19" max="19" width="11.08984375" bestFit="1" customWidth="1"/>
    <col min="20" max="20" width="22" bestFit="1" customWidth="1"/>
    <col min="21" max="21" width="9.81640625" bestFit="1" customWidth="1"/>
    <col min="22" max="22" width="14.26953125" bestFit="1" customWidth="1"/>
    <col min="23" max="23" width="28.54296875" bestFit="1" customWidth="1"/>
    <col min="24" max="24" width="8.6328125" bestFit="1" customWidth="1"/>
    <col min="25" max="25" width="28.81640625" bestFit="1" customWidth="1"/>
    <col min="26" max="26" width="26.453125" bestFit="1" customWidth="1"/>
    <col min="27" max="27" width="11.453125" bestFit="1" customWidth="1"/>
    <col min="28" max="28" width="24.36328125" bestFit="1" customWidth="1"/>
    <col min="29" max="29" width="14.90625" bestFit="1" customWidth="1"/>
    <col min="30" max="30" width="14.6328125" bestFit="1" customWidth="1"/>
  </cols>
  <sheetData>
    <row r="1" spans="1:30" x14ac:dyDescent="0.35">
      <c r="A1" t="s">
        <v>0</v>
      </c>
      <c r="B1" t="s">
        <v>1</v>
      </c>
      <c r="C1" t="s">
        <v>2</v>
      </c>
      <c r="D1" t="s">
        <v>50</v>
      </c>
      <c r="E1" t="s">
        <v>49</v>
      </c>
      <c r="F1" t="s">
        <v>48</v>
      </c>
      <c r="G1" t="s">
        <v>47</v>
      </c>
      <c r="H1" t="s">
        <v>46</v>
      </c>
      <c r="I1" t="s">
        <v>45</v>
      </c>
      <c r="J1" t="s">
        <v>44</v>
      </c>
      <c r="K1" t="s">
        <v>43</v>
      </c>
      <c r="L1" t="s">
        <v>42</v>
      </c>
      <c r="M1" t="s">
        <v>41</v>
      </c>
      <c r="N1" t="s">
        <v>40</v>
      </c>
      <c r="O1" t="s">
        <v>39</v>
      </c>
      <c r="P1" t="s">
        <v>38</v>
      </c>
      <c r="Q1" t="s">
        <v>4</v>
      </c>
      <c r="R1" t="s">
        <v>37</v>
      </c>
      <c r="S1" t="s">
        <v>36</v>
      </c>
      <c r="T1" t="s">
        <v>35</v>
      </c>
      <c r="U1" t="s">
        <v>6</v>
      </c>
      <c r="V1" t="s">
        <v>7</v>
      </c>
      <c r="W1" t="s">
        <v>8</v>
      </c>
      <c r="X1" t="s">
        <v>34</v>
      </c>
      <c r="Y1" t="s">
        <v>33</v>
      </c>
      <c r="Z1" t="s">
        <v>32</v>
      </c>
      <c r="AA1" t="s">
        <v>31</v>
      </c>
      <c r="AB1" t="s">
        <v>30</v>
      </c>
      <c r="AC1" t="s">
        <v>9</v>
      </c>
      <c r="AD1" t="s">
        <v>10</v>
      </c>
    </row>
    <row r="2" spans="1:30" x14ac:dyDescent="0.35">
      <c r="A2" t="s">
        <v>11</v>
      </c>
      <c r="B2">
        <v>2013</v>
      </c>
      <c r="C2" t="s">
        <v>12</v>
      </c>
      <c r="D2">
        <v>107.5</v>
      </c>
      <c r="E2">
        <v>106.3</v>
      </c>
      <c r="F2">
        <v>108.1</v>
      </c>
      <c r="G2">
        <v>104.9</v>
      </c>
      <c r="H2">
        <v>106.1</v>
      </c>
      <c r="I2">
        <v>103.9</v>
      </c>
      <c r="J2">
        <v>101.9</v>
      </c>
      <c r="K2">
        <v>106.1</v>
      </c>
      <c r="L2">
        <v>106.8</v>
      </c>
      <c r="M2">
        <v>103.1</v>
      </c>
      <c r="N2">
        <v>104.8</v>
      </c>
      <c r="O2">
        <v>106.7</v>
      </c>
      <c r="P2">
        <v>105.5</v>
      </c>
      <c r="Q2">
        <v>105.1</v>
      </c>
      <c r="R2">
        <v>106.5</v>
      </c>
      <c r="S2">
        <v>105.8</v>
      </c>
      <c r="T2">
        <v>106.4</v>
      </c>
      <c r="U2" t="s">
        <v>13</v>
      </c>
      <c r="V2">
        <v>105.5</v>
      </c>
      <c r="W2">
        <v>104.8</v>
      </c>
      <c r="X2">
        <v>104</v>
      </c>
      <c r="Y2">
        <v>103.3</v>
      </c>
      <c r="Z2">
        <v>103.4</v>
      </c>
      <c r="AA2">
        <v>103.8</v>
      </c>
      <c r="AB2">
        <v>104.7</v>
      </c>
      <c r="AC2">
        <v>104</v>
      </c>
      <c r="AD2">
        <v>105.1</v>
      </c>
    </row>
    <row r="3" spans="1:30" x14ac:dyDescent="0.35">
      <c r="A3" t="s">
        <v>14</v>
      </c>
      <c r="B3">
        <v>2013</v>
      </c>
      <c r="C3" t="s">
        <v>12</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15</v>
      </c>
      <c r="B4">
        <v>2013</v>
      </c>
      <c r="C4" t="s">
        <v>12</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11</v>
      </c>
      <c r="B5">
        <v>2013</v>
      </c>
      <c r="C5" t="s">
        <v>16</v>
      </c>
      <c r="D5">
        <v>109.2</v>
      </c>
      <c r="E5">
        <v>108.7</v>
      </c>
      <c r="F5">
        <v>110.2</v>
      </c>
      <c r="G5">
        <v>105.4</v>
      </c>
      <c r="H5">
        <v>106.7</v>
      </c>
      <c r="I5">
        <v>104</v>
      </c>
      <c r="J5">
        <v>102.4</v>
      </c>
      <c r="K5">
        <v>105.9</v>
      </c>
      <c r="L5">
        <v>105.7</v>
      </c>
      <c r="M5">
        <v>103.1</v>
      </c>
      <c r="N5">
        <v>105.1</v>
      </c>
      <c r="O5">
        <v>107.7</v>
      </c>
      <c r="P5">
        <v>106.3</v>
      </c>
      <c r="Q5">
        <v>105.6</v>
      </c>
      <c r="R5">
        <v>107.1</v>
      </c>
      <c r="S5">
        <v>106.3</v>
      </c>
      <c r="T5">
        <v>107</v>
      </c>
      <c r="U5" t="s">
        <v>13</v>
      </c>
      <c r="V5">
        <v>106.2</v>
      </c>
      <c r="W5">
        <v>105.2</v>
      </c>
      <c r="X5">
        <v>104.4</v>
      </c>
      <c r="Y5">
        <v>103.9</v>
      </c>
      <c r="Z5">
        <v>104</v>
      </c>
      <c r="AA5">
        <v>104.1</v>
      </c>
      <c r="AB5">
        <v>104.6</v>
      </c>
      <c r="AC5">
        <v>104.4</v>
      </c>
      <c r="AD5">
        <v>105.8</v>
      </c>
    </row>
    <row r="6" spans="1:30" x14ac:dyDescent="0.35">
      <c r="A6" t="s">
        <v>14</v>
      </c>
      <c r="B6">
        <v>2013</v>
      </c>
      <c r="C6" t="s">
        <v>16</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15</v>
      </c>
      <c r="B7">
        <v>2013</v>
      </c>
      <c r="C7" t="s">
        <v>16</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11</v>
      </c>
      <c r="B8">
        <v>2013</v>
      </c>
      <c r="C8" t="s">
        <v>17</v>
      </c>
      <c r="D8">
        <v>110.2</v>
      </c>
      <c r="E8">
        <v>108.8</v>
      </c>
      <c r="F8">
        <v>109.9</v>
      </c>
      <c r="G8">
        <v>105.6</v>
      </c>
      <c r="H8">
        <v>106.2</v>
      </c>
      <c r="I8">
        <v>105.7</v>
      </c>
      <c r="J8">
        <v>101.4</v>
      </c>
      <c r="K8">
        <v>105.7</v>
      </c>
      <c r="L8">
        <v>105</v>
      </c>
      <c r="M8">
        <v>103.3</v>
      </c>
      <c r="N8">
        <v>105.6</v>
      </c>
      <c r="O8">
        <v>108.2</v>
      </c>
      <c r="P8">
        <v>106.6</v>
      </c>
      <c r="Q8">
        <v>106.5</v>
      </c>
      <c r="R8">
        <v>107.6</v>
      </c>
      <c r="S8">
        <v>106.8</v>
      </c>
      <c r="T8">
        <v>107.5</v>
      </c>
      <c r="U8" t="s">
        <v>13</v>
      </c>
      <c r="V8">
        <v>106.1</v>
      </c>
      <c r="W8">
        <v>105.6</v>
      </c>
      <c r="X8">
        <v>104.7</v>
      </c>
      <c r="Y8">
        <v>104.6</v>
      </c>
      <c r="Z8">
        <v>104</v>
      </c>
      <c r="AA8">
        <v>104.3</v>
      </c>
      <c r="AB8">
        <v>104.3</v>
      </c>
      <c r="AC8">
        <v>104.6</v>
      </c>
      <c r="AD8">
        <v>106</v>
      </c>
    </row>
    <row r="9" spans="1:30" x14ac:dyDescent="0.35">
      <c r="A9" t="s">
        <v>14</v>
      </c>
      <c r="B9">
        <v>2013</v>
      </c>
      <c r="C9" t="s">
        <v>17</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15</v>
      </c>
      <c r="B10">
        <v>2013</v>
      </c>
      <c r="C10" t="s">
        <v>17</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11</v>
      </c>
      <c r="B11">
        <v>2013</v>
      </c>
      <c r="C11" t="s">
        <v>18</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13</v>
      </c>
      <c r="V11">
        <v>106.5</v>
      </c>
      <c r="W11">
        <v>106.1</v>
      </c>
      <c r="X11">
        <v>105.1</v>
      </c>
      <c r="Y11">
        <v>104.4</v>
      </c>
      <c r="Z11">
        <v>104.5</v>
      </c>
      <c r="AA11">
        <v>104.8</v>
      </c>
      <c r="AB11">
        <v>102.7</v>
      </c>
      <c r="AC11">
        <v>104.6</v>
      </c>
      <c r="AD11">
        <v>106.4</v>
      </c>
    </row>
    <row r="12" spans="1:30" x14ac:dyDescent="0.35">
      <c r="A12" t="s">
        <v>14</v>
      </c>
      <c r="B12">
        <v>2013</v>
      </c>
      <c r="C12" t="s">
        <v>18</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15</v>
      </c>
      <c r="B13">
        <v>2013</v>
      </c>
      <c r="C13" t="s">
        <v>18</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11</v>
      </c>
      <c r="B14">
        <v>2013</v>
      </c>
      <c r="C14" t="s">
        <v>19</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13</v>
      </c>
      <c r="V14">
        <v>107.5</v>
      </c>
      <c r="W14">
        <v>106.8</v>
      </c>
      <c r="X14">
        <v>105.7</v>
      </c>
      <c r="Y14">
        <v>104.1</v>
      </c>
      <c r="Z14">
        <v>105</v>
      </c>
      <c r="AA14">
        <v>105.5</v>
      </c>
      <c r="AB14">
        <v>102.1</v>
      </c>
      <c r="AC14">
        <v>104.8</v>
      </c>
      <c r="AD14">
        <v>107.2</v>
      </c>
    </row>
    <row r="15" spans="1:30" x14ac:dyDescent="0.35">
      <c r="A15" t="s">
        <v>14</v>
      </c>
      <c r="B15">
        <v>2013</v>
      </c>
      <c r="C15" t="s">
        <v>19</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15</v>
      </c>
      <c r="B16">
        <v>2013</v>
      </c>
      <c r="C16" t="s">
        <v>19</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11</v>
      </c>
      <c r="B17">
        <v>2013</v>
      </c>
      <c r="C17" t="s">
        <v>20</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13</v>
      </c>
      <c r="V17">
        <v>108.5</v>
      </c>
      <c r="W17">
        <v>107.5</v>
      </c>
      <c r="X17">
        <v>106.3</v>
      </c>
      <c r="Y17">
        <v>105</v>
      </c>
      <c r="Z17">
        <v>105.6</v>
      </c>
      <c r="AA17">
        <v>106.5</v>
      </c>
      <c r="AB17">
        <v>102.5</v>
      </c>
      <c r="AC17">
        <v>105.5</v>
      </c>
      <c r="AD17">
        <v>108.9</v>
      </c>
    </row>
    <row r="18" spans="1:30" x14ac:dyDescent="0.35">
      <c r="A18" t="s">
        <v>14</v>
      </c>
      <c r="B18">
        <v>2013</v>
      </c>
      <c r="C18" t="s">
        <v>20</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15</v>
      </c>
      <c r="B19">
        <v>2013</v>
      </c>
      <c r="C19" t="s">
        <v>20</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11</v>
      </c>
      <c r="B20">
        <v>2013</v>
      </c>
      <c r="C20" t="s">
        <v>21</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13</v>
      </c>
      <c r="V20">
        <v>109.5</v>
      </c>
      <c r="W20">
        <v>108.3</v>
      </c>
      <c r="X20">
        <v>106.9</v>
      </c>
      <c r="Y20">
        <v>106.8</v>
      </c>
      <c r="Z20">
        <v>106.4</v>
      </c>
      <c r="AA20">
        <v>107.8</v>
      </c>
      <c r="AB20">
        <v>102.5</v>
      </c>
      <c r="AC20">
        <v>106.5</v>
      </c>
      <c r="AD20">
        <v>110.7</v>
      </c>
    </row>
    <row r="21" spans="1:30" x14ac:dyDescent="0.35">
      <c r="A21" t="s">
        <v>14</v>
      </c>
      <c r="B21">
        <v>2013</v>
      </c>
      <c r="C21" t="s">
        <v>21</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15</v>
      </c>
      <c r="B22">
        <v>2013</v>
      </c>
      <c r="C22" t="s">
        <v>21</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11</v>
      </c>
      <c r="B23">
        <v>2013</v>
      </c>
      <c r="C23" t="s">
        <v>22</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13</v>
      </c>
      <c r="V23">
        <v>109.9</v>
      </c>
      <c r="W23">
        <v>108.7</v>
      </c>
      <c r="X23">
        <v>107.5</v>
      </c>
      <c r="Y23">
        <v>107.8</v>
      </c>
      <c r="Z23">
        <v>106.8</v>
      </c>
      <c r="AA23">
        <v>108.7</v>
      </c>
      <c r="AB23">
        <v>105</v>
      </c>
      <c r="AC23">
        <v>107.5</v>
      </c>
      <c r="AD23">
        <v>112.1</v>
      </c>
    </row>
    <row r="24" spans="1:30" x14ac:dyDescent="0.35">
      <c r="A24" t="s">
        <v>14</v>
      </c>
      <c r="B24">
        <v>2013</v>
      </c>
      <c r="C24" t="s">
        <v>22</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15</v>
      </c>
      <c r="B25">
        <v>2013</v>
      </c>
      <c r="C25" t="s">
        <v>22</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11</v>
      </c>
      <c r="B26">
        <v>2013</v>
      </c>
      <c r="C26" t="s">
        <v>23</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13</v>
      </c>
      <c r="V26">
        <v>111.1</v>
      </c>
      <c r="W26">
        <v>109.6</v>
      </c>
      <c r="X26">
        <v>108.3</v>
      </c>
      <c r="Y26">
        <v>109.3</v>
      </c>
      <c r="Z26">
        <v>107.7</v>
      </c>
      <c r="AA26">
        <v>109.8</v>
      </c>
      <c r="AB26">
        <v>106.7</v>
      </c>
      <c r="AC26">
        <v>108.7</v>
      </c>
      <c r="AD26">
        <v>114.2</v>
      </c>
    </row>
    <row r="27" spans="1:30" x14ac:dyDescent="0.35">
      <c r="A27" t="s">
        <v>14</v>
      </c>
      <c r="B27">
        <v>2013</v>
      </c>
      <c r="C27" t="s">
        <v>23</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15</v>
      </c>
      <c r="B28">
        <v>2013</v>
      </c>
      <c r="C28" t="s">
        <v>23</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11</v>
      </c>
      <c r="B29">
        <v>2013</v>
      </c>
      <c r="C29" t="s">
        <v>24</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13</v>
      </c>
      <c r="V29">
        <v>111.6</v>
      </c>
      <c r="W29">
        <v>110.4</v>
      </c>
      <c r="X29">
        <v>108.9</v>
      </c>
      <c r="Y29">
        <v>109.3</v>
      </c>
      <c r="Z29">
        <v>108.3</v>
      </c>
      <c r="AA29">
        <v>110.2</v>
      </c>
      <c r="AB29">
        <v>107.5</v>
      </c>
      <c r="AC29">
        <v>109.1</v>
      </c>
      <c r="AD29">
        <v>115.5</v>
      </c>
    </row>
    <row r="30" spans="1:30" x14ac:dyDescent="0.35">
      <c r="A30" t="s">
        <v>14</v>
      </c>
      <c r="B30">
        <v>2013</v>
      </c>
      <c r="C30" t="s">
        <v>24</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15</v>
      </c>
      <c r="B31">
        <v>2013</v>
      </c>
      <c r="C31" t="s">
        <v>24</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11</v>
      </c>
      <c r="B32">
        <v>2013</v>
      </c>
      <c r="C32" t="s">
        <v>25</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13</v>
      </c>
      <c r="V32">
        <v>112.6</v>
      </c>
      <c r="W32">
        <v>111.3</v>
      </c>
      <c r="X32">
        <v>109.7</v>
      </c>
      <c r="Y32">
        <v>109.6</v>
      </c>
      <c r="Z32">
        <v>108.7</v>
      </c>
      <c r="AA32">
        <v>111</v>
      </c>
      <c r="AB32">
        <v>108.2</v>
      </c>
      <c r="AC32">
        <v>109.8</v>
      </c>
      <c r="AD32">
        <v>117.4</v>
      </c>
    </row>
    <row r="33" spans="1:30" x14ac:dyDescent="0.35">
      <c r="A33" t="s">
        <v>14</v>
      </c>
      <c r="B33">
        <v>2013</v>
      </c>
      <c r="C33" t="s">
        <v>26</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15</v>
      </c>
      <c r="B34">
        <v>2013</v>
      </c>
      <c r="C34" t="s">
        <v>26</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11</v>
      </c>
      <c r="B35">
        <v>2013</v>
      </c>
      <c r="C35" t="s">
        <v>27</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13</v>
      </c>
      <c r="V35">
        <v>112.8</v>
      </c>
      <c r="W35">
        <v>112.1</v>
      </c>
      <c r="X35">
        <v>110.1</v>
      </c>
      <c r="Y35">
        <v>109.9</v>
      </c>
      <c r="Z35">
        <v>109.2</v>
      </c>
      <c r="AA35">
        <v>111.6</v>
      </c>
      <c r="AB35">
        <v>108.1</v>
      </c>
      <c r="AC35">
        <v>110.1</v>
      </c>
      <c r="AD35">
        <v>115.5</v>
      </c>
    </row>
    <row r="36" spans="1:30" x14ac:dyDescent="0.35">
      <c r="A36" t="s">
        <v>14</v>
      </c>
      <c r="B36">
        <v>2013</v>
      </c>
      <c r="C36" t="s">
        <v>27</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15</v>
      </c>
      <c r="B37">
        <v>2013</v>
      </c>
      <c r="C37" t="s">
        <v>27</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11</v>
      </c>
      <c r="B38">
        <v>2014</v>
      </c>
      <c r="C38" t="s">
        <v>12</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13</v>
      </c>
      <c r="V38">
        <v>113</v>
      </c>
      <c r="W38">
        <v>112.6</v>
      </c>
      <c r="X38">
        <v>110.6</v>
      </c>
      <c r="Y38">
        <v>110.5</v>
      </c>
      <c r="Z38">
        <v>109.6</v>
      </c>
      <c r="AA38">
        <v>111.8</v>
      </c>
      <c r="AB38">
        <v>108.3</v>
      </c>
      <c r="AC38">
        <v>110.6</v>
      </c>
      <c r="AD38">
        <v>114.2</v>
      </c>
    </row>
    <row r="39" spans="1:30" x14ac:dyDescent="0.35">
      <c r="A39" t="s">
        <v>14</v>
      </c>
      <c r="B39">
        <v>2014</v>
      </c>
      <c r="C39" t="s">
        <v>12</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15</v>
      </c>
      <c r="B40">
        <v>2014</v>
      </c>
      <c r="C40" t="s">
        <v>12</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11</v>
      </c>
      <c r="B41">
        <v>2014</v>
      </c>
      <c r="C41" t="s">
        <v>16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13</v>
      </c>
      <c r="V41">
        <v>113.2</v>
      </c>
      <c r="W41">
        <v>112.9</v>
      </c>
      <c r="X41">
        <v>110.9</v>
      </c>
      <c r="Y41">
        <v>110.8</v>
      </c>
      <c r="Z41">
        <v>109.9</v>
      </c>
      <c r="AA41">
        <v>112</v>
      </c>
      <c r="AB41">
        <v>108.7</v>
      </c>
      <c r="AC41">
        <v>110.9</v>
      </c>
      <c r="AD41">
        <v>114</v>
      </c>
    </row>
    <row r="42" spans="1:30" x14ac:dyDescent="0.35">
      <c r="A42" t="s">
        <v>14</v>
      </c>
      <c r="B42">
        <v>2014</v>
      </c>
      <c r="C42" t="s">
        <v>16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15</v>
      </c>
      <c r="B43">
        <v>2014</v>
      </c>
      <c r="C43" t="s">
        <v>16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11</v>
      </c>
      <c r="B44">
        <v>2014</v>
      </c>
      <c r="C44" t="s">
        <v>17</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13</v>
      </c>
      <c r="V44">
        <v>113.4</v>
      </c>
      <c r="W44">
        <v>113.4</v>
      </c>
      <c r="X44">
        <v>111.4</v>
      </c>
      <c r="Y44">
        <v>111.2</v>
      </c>
      <c r="Z44">
        <v>110.2</v>
      </c>
      <c r="AA44">
        <v>112.4</v>
      </c>
      <c r="AB44">
        <v>108.9</v>
      </c>
      <c r="AC44">
        <v>111.3</v>
      </c>
      <c r="AD44">
        <v>114.6</v>
      </c>
    </row>
    <row r="45" spans="1:30" x14ac:dyDescent="0.35">
      <c r="A45" t="s">
        <v>14</v>
      </c>
      <c r="B45">
        <v>2014</v>
      </c>
      <c r="C45" t="s">
        <v>17</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15</v>
      </c>
      <c r="B46">
        <v>2014</v>
      </c>
      <c r="C46" t="s">
        <v>28</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11</v>
      </c>
      <c r="B47">
        <v>2014</v>
      </c>
      <c r="C47" t="s">
        <v>18</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13</v>
      </c>
      <c r="V47">
        <v>113.4</v>
      </c>
      <c r="W47">
        <v>113.7</v>
      </c>
      <c r="X47">
        <v>111.8</v>
      </c>
      <c r="Y47">
        <v>111.2</v>
      </c>
      <c r="Z47">
        <v>110.5</v>
      </c>
      <c r="AA47">
        <v>113</v>
      </c>
      <c r="AB47">
        <v>108.9</v>
      </c>
      <c r="AC47">
        <v>111.5</v>
      </c>
      <c r="AD47">
        <v>115.4</v>
      </c>
    </row>
    <row r="48" spans="1:30" x14ac:dyDescent="0.35">
      <c r="A48" t="s">
        <v>14</v>
      </c>
      <c r="B48">
        <v>2014</v>
      </c>
      <c r="C48" t="s">
        <v>18</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15</v>
      </c>
      <c r="B49">
        <v>2014</v>
      </c>
      <c r="C49" t="s">
        <v>18</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11</v>
      </c>
      <c r="B50">
        <v>2014</v>
      </c>
      <c r="C50" t="s">
        <v>19</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13</v>
      </c>
      <c r="V50">
        <v>113.4</v>
      </c>
      <c r="W50">
        <v>114.1</v>
      </c>
      <c r="X50">
        <v>112.1</v>
      </c>
      <c r="Y50">
        <v>111.4</v>
      </c>
      <c r="Z50">
        <v>110.9</v>
      </c>
      <c r="AA50">
        <v>113.1</v>
      </c>
      <c r="AB50">
        <v>108.9</v>
      </c>
      <c r="AC50">
        <v>111.8</v>
      </c>
      <c r="AD50">
        <v>116</v>
      </c>
    </row>
    <row r="51" spans="1:30" x14ac:dyDescent="0.35">
      <c r="A51" t="s">
        <v>14</v>
      </c>
      <c r="B51">
        <v>2014</v>
      </c>
      <c r="C51" t="s">
        <v>19</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15</v>
      </c>
      <c r="B52">
        <v>2014</v>
      </c>
      <c r="C52" t="s">
        <v>19</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11</v>
      </c>
      <c r="B53">
        <v>2014</v>
      </c>
      <c r="C53" t="s">
        <v>20</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13</v>
      </c>
      <c r="V53">
        <v>114.4</v>
      </c>
      <c r="W53">
        <v>114.9</v>
      </c>
      <c r="X53">
        <v>112.8</v>
      </c>
      <c r="Y53">
        <v>112.2</v>
      </c>
      <c r="Z53">
        <v>111.4</v>
      </c>
      <c r="AA53">
        <v>114.3</v>
      </c>
      <c r="AB53">
        <v>108</v>
      </c>
      <c r="AC53">
        <v>112.3</v>
      </c>
      <c r="AD53">
        <v>117</v>
      </c>
    </row>
    <row r="54" spans="1:30" x14ac:dyDescent="0.35">
      <c r="A54" t="s">
        <v>14</v>
      </c>
      <c r="B54">
        <v>2014</v>
      </c>
      <c r="C54" t="s">
        <v>20</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15</v>
      </c>
      <c r="B55">
        <v>2014</v>
      </c>
      <c r="C55" t="s">
        <v>20</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11</v>
      </c>
      <c r="B56">
        <v>2014</v>
      </c>
      <c r="C56" t="s">
        <v>21</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13</v>
      </c>
      <c r="V56">
        <v>115.3</v>
      </c>
      <c r="W56">
        <v>115.4</v>
      </c>
      <c r="X56">
        <v>113.4</v>
      </c>
      <c r="Y56">
        <v>113.2</v>
      </c>
      <c r="Z56">
        <v>111.8</v>
      </c>
      <c r="AA56">
        <v>115.5</v>
      </c>
      <c r="AB56">
        <v>108.8</v>
      </c>
      <c r="AC56">
        <v>113.1</v>
      </c>
      <c r="AD56">
        <v>119.5</v>
      </c>
    </row>
    <row r="57" spans="1:30" x14ac:dyDescent="0.35">
      <c r="A57" t="s">
        <v>14</v>
      </c>
      <c r="B57">
        <v>2014</v>
      </c>
      <c r="C57" t="s">
        <v>21</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15</v>
      </c>
      <c r="B58">
        <v>2014</v>
      </c>
      <c r="C58" t="s">
        <v>21</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11</v>
      </c>
      <c r="B59">
        <v>2014</v>
      </c>
      <c r="C59" t="s">
        <v>22</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13</v>
      </c>
      <c r="V59">
        <v>115.4</v>
      </c>
      <c r="W59">
        <v>115.9</v>
      </c>
      <c r="X59">
        <v>114</v>
      </c>
      <c r="Y59">
        <v>113.2</v>
      </c>
      <c r="Z59">
        <v>112.2</v>
      </c>
      <c r="AA59">
        <v>116.2</v>
      </c>
      <c r="AB59">
        <v>109.4</v>
      </c>
      <c r="AC59">
        <v>113.5</v>
      </c>
      <c r="AD59">
        <v>120.7</v>
      </c>
    </row>
    <row r="60" spans="1:30" x14ac:dyDescent="0.35">
      <c r="A60" t="s">
        <v>14</v>
      </c>
      <c r="B60">
        <v>2014</v>
      </c>
      <c r="C60" t="s">
        <v>22</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15</v>
      </c>
      <c r="B61">
        <v>2014</v>
      </c>
      <c r="C61" t="s">
        <v>22</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11</v>
      </c>
      <c r="B62">
        <v>2014</v>
      </c>
      <c r="C62" t="s">
        <v>23</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13</v>
      </c>
      <c r="V62">
        <v>115.8</v>
      </c>
      <c r="W62">
        <v>116.7</v>
      </c>
      <c r="X62">
        <v>114.5</v>
      </c>
      <c r="Y62">
        <v>112.8</v>
      </c>
      <c r="Z62">
        <v>112.6</v>
      </c>
      <c r="AA62">
        <v>116.6</v>
      </c>
      <c r="AB62">
        <v>109.1</v>
      </c>
      <c r="AC62">
        <v>113.7</v>
      </c>
      <c r="AD62">
        <v>120.9</v>
      </c>
    </row>
    <row r="63" spans="1:30" x14ac:dyDescent="0.35">
      <c r="A63" t="s">
        <v>14</v>
      </c>
      <c r="B63">
        <v>2014</v>
      </c>
      <c r="C63" t="s">
        <v>23</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15</v>
      </c>
      <c r="B64">
        <v>2014</v>
      </c>
      <c r="C64" t="s">
        <v>23</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11</v>
      </c>
      <c r="B65">
        <v>2014</v>
      </c>
      <c r="C65" t="s">
        <v>24</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13</v>
      </c>
      <c r="V65">
        <v>116.4</v>
      </c>
      <c r="W65">
        <v>117.5</v>
      </c>
      <c r="X65">
        <v>115.3</v>
      </c>
      <c r="Y65">
        <v>112.6</v>
      </c>
      <c r="Z65">
        <v>113</v>
      </c>
      <c r="AA65">
        <v>116.9</v>
      </c>
      <c r="AB65">
        <v>109.3</v>
      </c>
      <c r="AC65">
        <v>114</v>
      </c>
      <c r="AD65">
        <v>121</v>
      </c>
    </row>
    <row r="66" spans="1:30" x14ac:dyDescent="0.35">
      <c r="A66" t="s">
        <v>14</v>
      </c>
      <c r="B66">
        <v>2014</v>
      </c>
      <c r="C66" t="s">
        <v>24</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15</v>
      </c>
      <c r="B67">
        <v>2014</v>
      </c>
      <c r="C67" t="s">
        <v>24</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11</v>
      </c>
      <c r="B68">
        <v>2014</v>
      </c>
      <c r="C68" t="s">
        <v>26</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13</v>
      </c>
      <c r="V68">
        <v>117.3</v>
      </c>
      <c r="W68">
        <v>118.1</v>
      </c>
      <c r="X68">
        <v>115.9</v>
      </c>
      <c r="Y68">
        <v>112</v>
      </c>
      <c r="Z68">
        <v>113.3</v>
      </c>
      <c r="AA68">
        <v>117.2</v>
      </c>
      <c r="AB68">
        <v>108.8</v>
      </c>
      <c r="AC68">
        <v>114.1</v>
      </c>
      <c r="AD68">
        <v>121.1</v>
      </c>
    </row>
    <row r="69" spans="1:30" x14ac:dyDescent="0.35">
      <c r="A69" t="s">
        <v>14</v>
      </c>
      <c r="B69">
        <v>2014</v>
      </c>
      <c r="C69" t="s">
        <v>26</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15</v>
      </c>
      <c r="B70">
        <v>2014</v>
      </c>
      <c r="C70" t="s">
        <v>26</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11</v>
      </c>
      <c r="B71">
        <v>2014</v>
      </c>
      <c r="C71" t="s">
        <v>27</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13</v>
      </c>
      <c r="V71">
        <v>117.4</v>
      </c>
      <c r="W71">
        <v>118.2</v>
      </c>
      <c r="X71">
        <v>116.2</v>
      </c>
      <c r="Y71">
        <v>111.5</v>
      </c>
      <c r="Z71">
        <v>113.3</v>
      </c>
      <c r="AA71">
        <v>117.7</v>
      </c>
      <c r="AB71">
        <v>109.4</v>
      </c>
      <c r="AC71">
        <v>114.2</v>
      </c>
      <c r="AD71">
        <v>120.3</v>
      </c>
    </row>
    <row r="72" spans="1:30" x14ac:dyDescent="0.35">
      <c r="A72" t="s">
        <v>14</v>
      </c>
      <c r="B72">
        <v>2014</v>
      </c>
      <c r="C72" t="s">
        <v>27</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15</v>
      </c>
      <c r="B73">
        <v>2014</v>
      </c>
      <c r="C73" t="s">
        <v>27</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11</v>
      </c>
      <c r="B74">
        <v>2015</v>
      </c>
      <c r="C74" t="s">
        <v>12</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13</v>
      </c>
      <c r="V74">
        <v>118.4</v>
      </c>
      <c r="W74">
        <v>118.9</v>
      </c>
      <c r="X74">
        <v>116.6</v>
      </c>
      <c r="Y74">
        <v>111</v>
      </c>
      <c r="Z74">
        <v>114</v>
      </c>
      <c r="AA74">
        <v>118.2</v>
      </c>
      <c r="AB74">
        <v>110.2</v>
      </c>
      <c r="AC74">
        <v>114.5</v>
      </c>
      <c r="AD74">
        <v>120.3</v>
      </c>
    </row>
    <row r="75" spans="1:30" x14ac:dyDescent="0.35">
      <c r="A75" t="s">
        <v>14</v>
      </c>
      <c r="B75">
        <v>2015</v>
      </c>
      <c r="C75" t="s">
        <v>12</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15</v>
      </c>
      <c r="B76">
        <v>2015</v>
      </c>
      <c r="C76" t="s">
        <v>12</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11</v>
      </c>
      <c r="B77">
        <v>2015</v>
      </c>
      <c r="C77" t="s">
        <v>16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13</v>
      </c>
      <c r="V77">
        <v>120</v>
      </c>
      <c r="W77">
        <v>119.6</v>
      </c>
      <c r="X77">
        <v>117.7</v>
      </c>
      <c r="Y77">
        <v>110.9</v>
      </c>
      <c r="Z77">
        <v>114.8</v>
      </c>
      <c r="AA77">
        <v>118.7</v>
      </c>
      <c r="AB77">
        <v>110.8</v>
      </c>
      <c r="AC77">
        <v>115</v>
      </c>
      <c r="AD77">
        <v>120.6</v>
      </c>
    </row>
    <row r="78" spans="1:30" x14ac:dyDescent="0.35">
      <c r="A78" t="s">
        <v>14</v>
      </c>
      <c r="B78">
        <v>2015</v>
      </c>
      <c r="C78" t="s">
        <v>16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15</v>
      </c>
      <c r="B79">
        <v>2015</v>
      </c>
      <c r="C79" t="s">
        <v>16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11</v>
      </c>
      <c r="B80">
        <v>2015</v>
      </c>
      <c r="C80" t="s">
        <v>17</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13</v>
      </c>
      <c r="V80">
        <v>120.6</v>
      </c>
      <c r="W80">
        <v>120.2</v>
      </c>
      <c r="X80">
        <v>118.2</v>
      </c>
      <c r="Y80">
        <v>111.6</v>
      </c>
      <c r="Z80">
        <v>115.5</v>
      </c>
      <c r="AA80">
        <v>119.4</v>
      </c>
      <c r="AB80">
        <v>110.8</v>
      </c>
      <c r="AC80">
        <v>115.5</v>
      </c>
      <c r="AD80">
        <v>121.1</v>
      </c>
    </row>
    <row r="81" spans="1:30" x14ac:dyDescent="0.35">
      <c r="A81" t="s">
        <v>14</v>
      </c>
      <c r="B81">
        <v>2015</v>
      </c>
      <c r="C81" t="s">
        <v>17</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15</v>
      </c>
      <c r="B82">
        <v>2015</v>
      </c>
      <c r="C82" t="s">
        <v>17</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11</v>
      </c>
      <c r="B83">
        <v>2015</v>
      </c>
      <c r="C83" t="s">
        <v>18</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13</v>
      </c>
      <c r="V83">
        <v>121.2</v>
      </c>
      <c r="W83">
        <v>120.9</v>
      </c>
      <c r="X83">
        <v>118.6</v>
      </c>
      <c r="Y83">
        <v>111.9</v>
      </c>
      <c r="Z83">
        <v>116.2</v>
      </c>
      <c r="AA83">
        <v>119.9</v>
      </c>
      <c r="AB83">
        <v>111.6</v>
      </c>
      <c r="AC83">
        <v>116</v>
      </c>
      <c r="AD83">
        <v>121.5</v>
      </c>
    </row>
    <row r="84" spans="1:30" x14ac:dyDescent="0.35">
      <c r="A84" t="s">
        <v>14</v>
      </c>
      <c r="B84">
        <v>2015</v>
      </c>
      <c r="C84" t="s">
        <v>18</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15</v>
      </c>
      <c r="B85">
        <v>2015</v>
      </c>
      <c r="C85" t="s">
        <v>18</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11</v>
      </c>
      <c r="B86">
        <v>2015</v>
      </c>
      <c r="C86" t="s">
        <v>19</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13</v>
      </c>
      <c r="V86">
        <v>121.9</v>
      </c>
      <c r="W86">
        <v>121.5</v>
      </c>
      <c r="X86">
        <v>119.4</v>
      </c>
      <c r="Y86">
        <v>113.3</v>
      </c>
      <c r="Z86">
        <v>116.7</v>
      </c>
      <c r="AA86">
        <v>120.5</v>
      </c>
      <c r="AB86">
        <v>112.3</v>
      </c>
      <c r="AC86">
        <v>116.9</v>
      </c>
      <c r="AD86">
        <v>122.4</v>
      </c>
    </row>
    <row r="87" spans="1:30" x14ac:dyDescent="0.35">
      <c r="A87" t="s">
        <v>14</v>
      </c>
      <c r="B87">
        <v>2015</v>
      </c>
      <c r="C87" t="s">
        <v>19</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15</v>
      </c>
      <c r="B88">
        <v>2015</v>
      </c>
      <c r="C88" t="s">
        <v>19</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11</v>
      </c>
      <c r="B89">
        <v>2015</v>
      </c>
      <c r="C89" t="s">
        <v>20</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13</v>
      </c>
      <c r="V89">
        <v>122.6</v>
      </c>
      <c r="W89">
        <v>122.8</v>
      </c>
      <c r="X89">
        <v>120.4</v>
      </c>
      <c r="Y89">
        <v>114.2</v>
      </c>
      <c r="Z89">
        <v>117.9</v>
      </c>
      <c r="AA89">
        <v>122</v>
      </c>
      <c r="AB89">
        <v>113</v>
      </c>
      <c r="AC89">
        <v>117.9</v>
      </c>
      <c r="AD89">
        <v>124.1</v>
      </c>
    </row>
    <row r="90" spans="1:30" x14ac:dyDescent="0.35">
      <c r="A90" t="s">
        <v>14</v>
      </c>
      <c r="B90">
        <v>2015</v>
      </c>
      <c r="C90" t="s">
        <v>20</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15</v>
      </c>
      <c r="B91">
        <v>2015</v>
      </c>
      <c r="C91" t="s">
        <v>20</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11</v>
      </c>
      <c r="B92">
        <v>2015</v>
      </c>
      <c r="C92" t="s">
        <v>21</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13</v>
      </c>
      <c r="V92">
        <v>123</v>
      </c>
      <c r="W92">
        <v>123</v>
      </c>
      <c r="X92">
        <v>120.8</v>
      </c>
      <c r="Y92">
        <v>114.1</v>
      </c>
      <c r="Z92">
        <v>118</v>
      </c>
      <c r="AA92">
        <v>122.9</v>
      </c>
      <c r="AB92">
        <v>112.7</v>
      </c>
      <c r="AC92">
        <v>118.1</v>
      </c>
      <c r="AD92">
        <v>124.7</v>
      </c>
    </row>
    <row r="93" spans="1:30" x14ac:dyDescent="0.35">
      <c r="A93" t="s">
        <v>14</v>
      </c>
      <c r="B93">
        <v>2015</v>
      </c>
      <c r="C93" t="s">
        <v>21</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15</v>
      </c>
      <c r="B94">
        <v>2015</v>
      </c>
      <c r="C94" t="s">
        <v>21</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11</v>
      </c>
      <c r="B95">
        <v>2015</v>
      </c>
      <c r="C95" t="s">
        <v>22</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13</v>
      </c>
      <c r="V95">
        <v>123.8</v>
      </c>
      <c r="W95">
        <v>123.7</v>
      </c>
      <c r="X95">
        <v>121.1</v>
      </c>
      <c r="Y95">
        <v>113.6</v>
      </c>
      <c r="Z95">
        <v>118.5</v>
      </c>
      <c r="AA95">
        <v>123.6</v>
      </c>
      <c r="AB95">
        <v>112.5</v>
      </c>
      <c r="AC95">
        <v>118.2</v>
      </c>
      <c r="AD95">
        <v>126.1</v>
      </c>
    </row>
    <row r="96" spans="1:30" x14ac:dyDescent="0.35">
      <c r="A96" t="s">
        <v>14</v>
      </c>
      <c r="B96">
        <v>2015</v>
      </c>
      <c r="C96" t="s">
        <v>22</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15</v>
      </c>
      <c r="B97">
        <v>2015</v>
      </c>
      <c r="C97" t="s">
        <v>22</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11</v>
      </c>
      <c r="B98">
        <v>2015</v>
      </c>
      <c r="C98" t="s">
        <v>23</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13</v>
      </c>
      <c r="V98">
        <v>123.7</v>
      </c>
      <c r="W98">
        <v>124.5</v>
      </c>
      <c r="X98">
        <v>121.4</v>
      </c>
      <c r="Y98">
        <v>113.8</v>
      </c>
      <c r="Z98">
        <v>119.6</v>
      </c>
      <c r="AA98">
        <v>124.5</v>
      </c>
      <c r="AB98">
        <v>113.7</v>
      </c>
      <c r="AC98">
        <v>118.8</v>
      </c>
      <c r="AD98">
        <v>127</v>
      </c>
    </row>
    <row r="99" spans="1:30" x14ac:dyDescent="0.35">
      <c r="A99" t="s">
        <v>14</v>
      </c>
      <c r="B99">
        <v>2015</v>
      </c>
      <c r="C99" t="s">
        <v>23</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15</v>
      </c>
      <c r="B100">
        <v>2015</v>
      </c>
      <c r="C100" t="s">
        <v>23</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11</v>
      </c>
      <c r="B101">
        <v>2015</v>
      </c>
      <c r="C101" t="s">
        <v>24</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13</v>
      </c>
      <c r="V101">
        <v>124.4</v>
      </c>
      <c r="W101">
        <v>125.1</v>
      </c>
      <c r="X101">
        <v>122</v>
      </c>
      <c r="Y101">
        <v>113.8</v>
      </c>
      <c r="Z101">
        <v>120.1</v>
      </c>
      <c r="AA101">
        <v>125.1</v>
      </c>
      <c r="AB101">
        <v>114.2</v>
      </c>
      <c r="AC101">
        <v>119.2</v>
      </c>
      <c r="AD101">
        <v>127.7</v>
      </c>
    </row>
    <row r="102" spans="1:30" x14ac:dyDescent="0.35">
      <c r="A102" t="s">
        <v>14</v>
      </c>
      <c r="B102">
        <v>2015</v>
      </c>
      <c r="C102" t="s">
        <v>24</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15</v>
      </c>
      <c r="B103">
        <v>2015</v>
      </c>
      <c r="C103" t="s">
        <v>24</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11</v>
      </c>
      <c r="B104">
        <v>2015</v>
      </c>
      <c r="C104" t="s">
        <v>26</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13</v>
      </c>
      <c r="V104">
        <v>125.6</v>
      </c>
      <c r="W104">
        <v>125.6</v>
      </c>
      <c r="X104">
        <v>122.6</v>
      </c>
      <c r="Y104">
        <v>114</v>
      </c>
      <c r="Z104">
        <v>120.9</v>
      </c>
      <c r="AA104">
        <v>125.8</v>
      </c>
      <c r="AB104">
        <v>114.2</v>
      </c>
      <c r="AC104">
        <v>119.6</v>
      </c>
      <c r="AD104">
        <v>128.30000000000001</v>
      </c>
    </row>
    <row r="105" spans="1:30" x14ac:dyDescent="0.35">
      <c r="A105" t="s">
        <v>14</v>
      </c>
      <c r="B105">
        <v>2015</v>
      </c>
      <c r="C105" t="s">
        <v>26</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15</v>
      </c>
      <c r="B106">
        <v>2015</v>
      </c>
      <c r="C106" t="s">
        <v>26</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11</v>
      </c>
      <c r="B107">
        <v>2015</v>
      </c>
      <c r="C107" t="s">
        <v>27</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13</v>
      </c>
      <c r="V107">
        <v>125.7</v>
      </c>
      <c r="W107">
        <v>126</v>
      </c>
      <c r="X107">
        <v>123.1</v>
      </c>
      <c r="Y107">
        <v>114</v>
      </c>
      <c r="Z107">
        <v>121.6</v>
      </c>
      <c r="AA107">
        <v>125.6</v>
      </c>
      <c r="AB107">
        <v>114.1</v>
      </c>
      <c r="AC107">
        <v>119.8</v>
      </c>
      <c r="AD107">
        <v>127.9</v>
      </c>
    </row>
    <row r="108" spans="1:30" x14ac:dyDescent="0.35">
      <c r="A108" t="s">
        <v>14</v>
      </c>
      <c r="B108">
        <v>2015</v>
      </c>
      <c r="C108" t="s">
        <v>27</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15</v>
      </c>
      <c r="B109">
        <v>2015</v>
      </c>
      <c r="C109" t="s">
        <v>27</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11</v>
      </c>
      <c r="B110">
        <v>2016</v>
      </c>
      <c r="C110" t="s">
        <v>12</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13</v>
      </c>
      <c r="V110">
        <v>126.2</v>
      </c>
      <c r="W110">
        <v>126.6</v>
      </c>
      <c r="X110">
        <v>123.7</v>
      </c>
      <c r="Y110">
        <v>113.6</v>
      </c>
      <c r="Z110">
        <v>121.4</v>
      </c>
      <c r="AA110">
        <v>126.2</v>
      </c>
      <c r="AB110">
        <v>114.9</v>
      </c>
      <c r="AC110">
        <v>120.1</v>
      </c>
      <c r="AD110">
        <v>128.1</v>
      </c>
    </row>
    <row r="111" spans="1:30" x14ac:dyDescent="0.35">
      <c r="A111" t="s">
        <v>14</v>
      </c>
      <c r="B111">
        <v>2016</v>
      </c>
      <c r="C111" t="s">
        <v>12</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15</v>
      </c>
      <c r="B112">
        <v>2016</v>
      </c>
      <c r="C112" t="s">
        <v>12</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11</v>
      </c>
      <c r="B113">
        <v>2016</v>
      </c>
      <c r="C113" t="s">
        <v>16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13</v>
      </c>
      <c r="V113">
        <v>127.5</v>
      </c>
      <c r="W113">
        <v>127.1</v>
      </c>
      <c r="X113">
        <v>124.3</v>
      </c>
      <c r="Y113">
        <v>113.9</v>
      </c>
      <c r="Z113">
        <v>122.3</v>
      </c>
      <c r="AA113">
        <v>127.1</v>
      </c>
      <c r="AB113">
        <v>116.8</v>
      </c>
      <c r="AC113">
        <v>120.9</v>
      </c>
      <c r="AD113">
        <v>127.9</v>
      </c>
    </row>
    <row r="114" spans="1:30" x14ac:dyDescent="0.35">
      <c r="A114" t="s">
        <v>14</v>
      </c>
      <c r="B114">
        <v>2016</v>
      </c>
      <c r="C114" t="s">
        <v>16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15</v>
      </c>
      <c r="B115">
        <v>2016</v>
      </c>
      <c r="C115" t="s">
        <v>16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11</v>
      </c>
      <c r="B116">
        <v>2016</v>
      </c>
      <c r="C116" t="s">
        <v>17</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13</v>
      </c>
      <c r="V116">
        <v>127</v>
      </c>
      <c r="W116">
        <v>127.7</v>
      </c>
      <c r="X116">
        <v>124.8</v>
      </c>
      <c r="Y116">
        <v>113.6</v>
      </c>
      <c r="Z116">
        <v>122.5</v>
      </c>
      <c r="AA116">
        <v>127.5</v>
      </c>
      <c r="AB116">
        <v>117.4</v>
      </c>
      <c r="AC116">
        <v>121.1</v>
      </c>
      <c r="AD116">
        <v>128</v>
      </c>
    </row>
    <row r="117" spans="1:30" x14ac:dyDescent="0.35">
      <c r="A117" t="s">
        <v>14</v>
      </c>
      <c r="B117">
        <v>2016</v>
      </c>
      <c r="C117" t="s">
        <v>17</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15</v>
      </c>
      <c r="B118">
        <v>2016</v>
      </c>
      <c r="C118" t="s">
        <v>17</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11</v>
      </c>
      <c r="B119">
        <v>2016</v>
      </c>
      <c r="C119" t="s">
        <v>18</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13</v>
      </c>
      <c r="V119">
        <v>127</v>
      </c>
      <c r="W119">
        <v>128</v>
      </c>
      <c r="X119">
        <v>125.2</v>
      </c>
      <c r="Y119">
        <v>114.4</v>
      </c>
      <c r="Z119">
        <v>123.2</v>
      </c>
      <c r="AA119">
        <v>127.9</v>
      </c>
      <c r="AB119">
        <v>118.4</v>
      </c>
      <c r="AC119">
        <v>121.7</v>
      </c>
      <c r="AD119">
        <v>129</v>
      </c>
    </row>
    <row r="120" spans="1:30" x14ac:dyDescent="0.35">
      <c r="A120" t="s">
        <v>14</v>
      </c>
      <c r="B120">
        <v>2016</v>
      </c>
      <c r="C120" t="s">
        <v>18</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15</v>
      </c>
      <c r="B121">
        <v>2016</v>
      </c>
      <c r="C121" t="s">
        <v>18</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11</v>
      </c>
      <c r="B122">
        <v>2016</v>
      </c>
      <c r="C122" t="s">
        <v>19</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13</v>
      </c>
      <c r="V122">
        <v>127.4</v>
      </c>
      <c r="W122">
        <v>128.5</v>
      </c>
      <c r="X122">
        <v>125.8</v>
      </c>
      <c r="Y122">
        <v>115.1</v>
      </c>
      <c r="Z122">
        <v>123.6</v>
      </c>
      <c r="AA122">
        <v>129.1</v>
      </c>
      <c r="AB122">
        <v>119.7</v>
      </c>
      <c r="AC122">
        <v>122.5</v>
      </c>
      <c r="AD122">
        <v>130.30000000000001</v>
      </c>
    </row>
    <row r="123" spans="1:30" x14ac:dyDescent="0.35">
      <c r="A123" t="s">
        <v>14</v>
      </c>
      <c r="B123">
        <v>2016</v>
      </c>
      <c r="C123" t="s">
        <v>19</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15</v>
      </c>
      <c r="B124">
        <v>2016</v>
      </c>
      <c r="C124" t="s">
        <v>19</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11</v>
      </c>
      <c r="B125">
        <v>2016</v>
      </c>
      <c r="C125" t="s">
        <v>20</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13</v>
      </c>
      <c r="V125">
        <v>128</v>
      </c>
      <c r="W125">
        <v>129.30000000000001</v>
      </c>
      <c r="X125">
        <v>126.2</v>
      </c>
      <c r="Y125">
        <v>116.3</v>
      </c>
      <c r="Z125">
        <v>124.1</v>
      </c>
      <c r="AA125">
        <v>130.19999999999999</v>
      </c>
      <c r="AB125">
        <v>119.9</v>
      </c>
      <c r="AC125">
        <v>123.3</v>
      </c>
      <c r="AD125">
        <v>131.9</v>
      </c>
    </row>
    <row r="126" spans="1:30" x14ac:dyDescent="0.35">
      <c r="A126" t="s">
        <v>14</v>
      </c>
      <c r="B126">
        <v>2016</v>
      </c>
      <c r="C126" t="s">
        <v>20</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15</v>
      </c>
      <c r="B127">
        <v>2016</v>
      </c>
      <c r="C127" t="s">
        <v>20</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11</v>
      </c>
      <c r="B128">
        <v>2016</v>
      </c>
      <c r="C128" t="s">
        <v>21</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13</v>
      </c>
      <c r="V128">
        <v>128.19999999999999</v>
      </c>
      <c r="W128">
        <v>130</v>
      </c>
      <c r="X128">
        <v>126.7</v>
      </c>
      <c r="Y128">
        <v>116.4</v>
      </c>
      <c r="Z128">
        <v>125.2</v>
      </c>
      <c r="AA128">
        <v>130.80000000000001</v>
      </c>
      <c r="AB128">
        <v>120.9</v>
      </c>
      <c r="AC128">
        <v>123.8</v>
      </c>
      <c r="AD128">
        <v>133</v>
      </c>
    </row>
    <row r="129" spans="1:30" x14ac:dyDescent="0.35">
      <c r="A129" t="s">
        <v>14</v>
      </c>
      <c r="B129">
        <v>2016</v>
      </c>
      <c r="C129" t="s">
        <v>21</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15</v>
      </c>
      <c r="B130">
        <v>2016</v>
      </c>
      <c r="C130" t="s">
        <v>21</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11</v>
      </c>
      <c r="B131">
        <v>2016</v>
      </c>
      <c r="C131" t="s">
        <v>22</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13</v>
      </c>
      <c r="V131">
        <v>129.1</v>
      </c>
      <c r="W131">
        <v>130.6</v>
      </c>
      <c r="X131">
        <v>127</v>
      </c>
      <c r="Y131">
        <v>116</v>
      </c>
      <c r="Z131">
        <v>125.5</v>
      </c>
      <c r="AA131">
        <v>131.9</v>
      </c>
      <c r="AB131">
        <v>122</v>
      </c>
      <c r="AC131">
        <v>124.2</v>
      </c>
      <c r="AD131">
        <v>133.5</v>
      </c>
    </row>
    <row r="132" spans="1:30" x14ac:dyDescent="0.35">
      <c r="A132" t="s">
        <v>14</v>
      </c>
      <c r="B132">
        <v>2016</v>
      </c>
      <c r="C132" t="s">
        <v>22</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15</v>
      </c>
      <c r="B133">
        <v>2016</v>
      </c>
      <c r="C133" t="s">
        <v>22</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11</v>
      </c>
      <c r="B134">
        <v>2016</v>
      </c>
      <c r="C134" t="s">
        <v>23</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13</v>
      </c>
      <c r="V134">
        <v>129.69999999999999</v>
      </c>
      <c r="W134">
        <v>131.1</v>
      </c>
      <c r="X134">
        <v>127.8</v>
      </c>
      <c r="Y134">
        <v>117</v>
      </c>
      <c r="Z134">
        <v>125.7</v>
      </c>
      <c r="AA134">
        <v>132.19999999999999</v>
      </c>
      <c r="AB134">
        <v>122.8</v>
      </c>
      <c r="AC134">
        <v>124.9</v>
      </c>
      <c r="AD134">
        <v>133.4</v>
      </c>
    </row>
    <row r="135" spans="1:30" x14ac:dyDescent="0.35">
      <c r="A135" t="s">
        <v>14</v>
      </c>
      <c r="B135">
        <v>2016</v>
      </c>
      <c r="C135" t="s">
        <v>23</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15</v>
      </c>
      <c r="B136">
        <v>2016</v>
      </c>
      <c r="C136" t="s">
        <v>23</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11</v>
      </c>
      <c r="B137">
        <v>2016</v>
      </c>
      <c r="C137" t="s">
        <v>24</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13</v>
      </c>
      <c r="V137">
        <v>129.80000000000001</v>
      </c>
      <c r="W137">
        <v>131.80000000000001</v>
      </c>
      <c r="X137">
        <v>128.69999999999999</v>
      </c>
      <c r="Y137">
        <v>117.8</v>
      </c>
      <c r="Z137">
        <v>126.5</v>
      </c>
      <c r="AA137">
        <v>133</v>
      </c>
      <c r="AB137">
        <v>123</v>
      </c>
      <c r="AC137">
        <v>125.7</v>
      </c>
      <c r="AD137">
        <v>133.80000000000001</v>
      </c>
    </row>
    <row r="138" spans="1:30" x14ac:dyDescent="0.35">
      <c r="A138" t="s">
        <v>14</v>
      </c>
      <c r="B138">
        <v>2016</v>
      </c>
      <c r="C138" t="s">
        <v>24</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15</v>
      </c>
      <c r="B139">
        <v>2016</v>
      </c>
      <c r="C139" t="s">
        <v>24</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11</v>
      </c>
      <c r="B140">
        <v>2016</v>
      </c>
      <c r="C140" t="s">
        <v>26</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13</v>
      </c>
      <c r="V140">
        <v>130.30000000000001</v>
      </c>
      <c r="W140">
        <v>132.1</v>
      </c>
      <c r="X140">
        <v>129.1</v>
      </c>
      <c r="Y140">
        <v>118.2</v>
      </c>
      <c r="Z140">
        <v>126.9</v>
      </c>
      <c r="AA140">
        <v>133.69999999999999</v>
      </c>
      <c r="AB140">
        <v>123.5</v>
      </c>
      <c r="AC140">
        <v>126.1</v>
      </c>
      <c r="AD140">
        <v>133.6</v>
      </c>
    </row>
    <row r="141" spans="1:30" x14ac:dyDescent="0.35">
      <c r="A141" t="s">
        <v>14</v>
      </c>
      <c r="B141">
        <v>2016</v>
      </c>
      <c r="C141" t="s">
        <v>26</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15</v>
      </c>
      <c r="B142">
        <v>2016</v>
      </c>
      <c r="C142" t="s">
        <v>26</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11</v>
      </c>
      <c r="B143">
        <v>2016</v>
      </c>
      <c r="C143" t="s">
        <v>27</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13</v>
      </c>
      <c r="V143">
        <v>132</v>
      </c>
      <c r="W143">
        <v>132.9</v>
      </c>
      <c r="X143">
        <v>129.69999999999999</v>
      </c>
      <c r="Y143">
        <v>118.6</v>
      </c>
      <c r="Z143">
        <v>127.3</v>
      </c>
      <c r="AA143">
        <v>134.19999999999999</v>
      </c>
      <c r="AB143">
        <v>121.9</v>
      </c>
      <c r="AC143">
        <v>126.3</v>
      </c>
      <c r="AD143">
        <v>132.80000000000001</v>
      </c>
    </row>
    <row r="144" spans="1:30" x14ac:dyDescent="0.35">
      <c r="A144" t="s">
        <v>14</v>
      </c>
      <c r="B144">
        <v>2016</v>
      </c>
      <c r="C144" t="s">
        <v>27</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15</v>
      </c>
      <c r="B145">
        <v>2016</v>
      </c>
      <c r="C145" t="s">
        <v>27</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11</v>
      </c>
      <c r="B146">
        <v>2017</v>
      </c>
      <c r="C146" t="s">
        <v>12</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13</v>
      </c>
      <c r="V146">
        <v>132.1</v>
      </c>
      <c r="W146">
        <v>133.19999999999999</v>
      </c>
      <c r="X146">
        <v>129.9</v>
      </c>
      <c r="Y146">
        <v>119.1</v>
      </c>
      <c r="Z146">
        <v>127</v>
      </c>
      <c r="AA146">
        <v>134.6</v>
      </c>
      <c r="AB146">
        <v>122.3</v>
      </c>
      <c r="AC146">
        <v>126.6</v>
      </c>
      <c r="AD146">
        <v>132.4</v>
      </c>
    </row>
    <row r="147" spans="1:30" x14ac:dyDescent="0.35">
      <c r="A147" t="s">
        <v>14</v>
      </c>
      <c r="B147">
        <v>2017</v>
      </c>
      <c r="C147" t="s">
        <v>12</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15</v>
      </c>
      <c r="B148">
        <v>2017</v>
      </c>
      <c r="C148" t="s">
        <v>12</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11</v>
      </c>
      <c r="B149">
        <v>2017</v>
      </c>
      <c r="C149" t="s">
        <v>16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13</v>
      </c>
      <c r="V149">
        <v>133.19999999999999</v>
      </c>
      <c r="W149">
        <v>133.6</v>
      </c>
      <c r="X149">
        <v>130.1</v>
      </c>
      <c r="Y149">
        <v>119.5</v>
      </c>
      <c r="Z149">
        <v>127.7</v>
      </c>
      <c r="AA149">
        <v>134.9</v>
      </c>
      <c r="AB149">
        <v>123.2</v>
      </c>
      <c r="AC149">
        <v>127</v>
      </c>
      <c r="AD149">
        <v>132.6</v>
      </c>
    </row>
    <row r="150" spans="1:30" x14ac:dyDescent="0.35">
      <c r="A150" t="s">
        <v>14</v>
      </c>
      <c r="B150">
        <v>2017</v>
      </c>
      <c r="C150" t="s">
        <v>16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15</v>
      </c>
      <c r="B151">
        <v>2017</v>
      </c>
      <c r="C151" t="s">
        <v>16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11</v>
      </c>
      <c r="B152">
        <v>2017</v>
      </c>
      <c r="C152" t="s">
        <v>17</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13</v>
      </c>
      <c r="V152">
        <v>134.19999999999999</v>
      </c>
      <c r="W152">
        <v>134.1</v>
      </c>
      <c r="X152">
        <v>130.6</v>
      </c>
      <c r="Y152">
        <v>119.8</v>
      </c>
      <c r="Z152">
        <v>128.30000000000001</v>
      </c>
      <c r="AA152">
        <v>135.19999999999999</v>
      </c>
      <c r="AB152">
        <v>123.3</v>
      </c>
      <c r="AC152">
        <v>127.4</v>
      </c>
      <c r="AD152">
        <v>132.80000000000001</v>
      </c>
    </row>
    <row r="153" spans="1:30" x14ac:dyDescent="0.35">
      <c r="A153" t="s">
        <v>14</v>
      </c>
      <c r="B153">
        <v>2017</v>
      </c>
      <c r="C153" t="s">
        <v>17</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15</v>
      </c>
      <c r="B154">
        <v>2017</v>
      </c>
      <c r="C154" t="s">
        <v>17</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11</v>
      </c>
      <c r="B155">
        <v>2017</v>
      </c>
      <c r="C155" t="s">
        <v>18</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13</v>
      </c>
      <c r="V155">
        <v>135</v>
      </c>
      <c r="W155">
        <v>134.30000000000001</v>
      </c>
      <c r="X155">
        <v>131</v>
      </c>
      <c r="Y155">
        <v>119.2</v>
      </c>
      <c r="Z155">
        <v>128.30000000000001</v>
      </c>
      <c r="AA155">
        <v>135.69999999999999</v>
      </c>
      <c r="AB155">
        <v>123.7</v>
      </c>
      <c r="AC155">
        <v>127.5</v>
      </c>
      <c r="AD155">
        <v>132.9</v>
      </c>
    </row>
    <row r="156" spans="1:30" x14ac:dyDescent="0.35">
      <c r="A156" t="s">
        <v>14</v>
      </c>
      <c r="B156">
        <v>2017</v>
      </c>
      <c r="C156" t="s">
        <v>18</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15</v>
      </c>
      <c r="B157">
        <v>2017</v>
      </c>
      <c r="C157" t="s">
        <v>18</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11</v>
      </c>
      <c r="B158">
        <v>2017</v>
      </c>
      <c r="C158" t="s">
        <v>19</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13</v>
      </c>
      <c r="V158">
        <v>135</v>
      </c>
      <c r="W158">
        <v>134.9</v>
      </c>
      <c r="X158">
        <v>131.4</v>
      </c>
      <c r="Y158">
        <v>119.4</v>
      </c>
      <c r="Z158">
        <v>129.4</v>
      </c>
      <c r="AA158">
        <v>136.30000000000001</v>
      </c>
      <c r="AB158">
        <v>123.7</v>
      </c>
      <c r="AC158">
        <v>127.9</v>
      </c>
      <c r="AD158">
        <v>133.30000000000001</v>
      </c>
    </row>
    <row r="159" spans="1:30" x14ac:dyDescent="0.35">
      <c r="A159" t="s">
        <v>14</v>
      </c>
      <c r="B159">
        <v>2017</v>
      </c>
      <c r="C159" t="s">
        <v>19</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15</v>
      </c>
      <c r="B160">
        <v>2017</v>
      </c>
      <c r="C160" t="s">
        <v>19</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11</v>
      </c>
      <c r="B161">
        <v>2017</v>
      </c>
      <c r="C161" t="s">
        <v>20</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13</v>
      </c>
      <c r="V161">
        <v>134.80000000000001</v>
      </c>
      <c r="W161">
        <v>135.19999999999999</v>
      </c>
      <c r="X161">
        <v>131.30000000000001</v>
      </c>
      <c r="Y161">
        <v>119.4</v>
      </c>
      <c r="Z161">
        <v>129.80000000000001</v>
      </c>
      <c r="AA161">
        <v>136.9</v>
      </c>
      <c r="AB161">
        <v>124.1</v>
      </c>
      <c r="AC161">
        <v>128.1</v>
      </c>
      <c r="AD161">
        <v>133.9</v>
      </c>
    </row>
    <row r="162" spans="1:30" x14ac:dyDescent="0.35">
      <c r="A162" t="s">
        <v>14</v>
      </c>
      <c r="B162">
        <v>2017</v>
      </c>
      <c r="C162" t="s">
        <v>20</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15</v>
      </c>
      <c r="B163">
        <v>2017</v>
      </c>
      <c r="C163" t="s">
        <v>20</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11</v>
      </c>
      <c r="B164">
        <v>2017</v>
      </c>
      <c r="C164" t="s">
        <v>21</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13</v>
      </c>
      <c r="V164">
        <v>135.30000000000001</v>
      </c>
      <c r="W164">
        <v>136.1</v>
      </c>
      <c r="X164">
        <v>132.1</v>
      </c>
      <c r="Y164">
        <v>119.1</v>
      </c>
      <c r="Z164">
        <v>130.6</v>
      </c>
      <c r="AA164">
        <v>138.6</v>
      </c>
      <c r="AB164">
        <v>124.4</v>
      </c>
      <c r="AC164">
        <v>128.6</v>
      </c>
      <c r="AD164">
        <v>136.19999999999999</v>
      </c>
    </row>
    <row r="165" spans="1:30" x14ac:dyDescent="0.35">
      <c r="A165" t="s">
        <v>14</v>
      </c>
      <c r="B165">
        <v>2017</v>
      </c>
      <c r="C165" t="s">
        <v>21</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15</v>
      </c>
      <c r="B166">
        <v>2017</v>
      </c>
      <c r="C166" t="s">
        <v>21</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11</v>
      </c>
      <c r="B167">
        <v>2017</v>
      </c>
      <c r="C167" t="s">
        <v>22</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13</v>
      </c>
      <c r="V167">
        <v>136.4</v>
      </c>
      <c r="W167">
        <v>137.30000000000001</v>
      </c>
      <c r="X167">
        <v>133</v>
      </c>
      <c r="Y167">
        <v>120.3</v>
      </c>
      <c r="Z167">
        <v>131.5</v>
      </c>
      <c r="AA167">
        <v>140.19999999999999</v>
      </c>
      <c r="AB167">
        <v>125.4</v>
      </c>
      <c r="AC167">
        <v>129.69999999999999</v>
      </c>
      <c r="AD167">
        <v>137.80000000000001</v>
      </c>
    </row>
    <row r="168" spans="1:30" x14ac:dyDescent="0.35">
      <c r="A168" t="s">
        <v>14</v>
      </c>
      <c r="B168">
        <v>2017</v>
      </c>
      <c r="C168" t="s">
        <v>22</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15</v>
      </c>
      <c r="B169">
        <v>2017</v>
      </c>
      <c r="C169" t="s">
        <v>22</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11</v>
      </c>
      <c r="B170">
        <v>2017</v>
      </c>
      <c r="C170" t="s">
        <v>23</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13</v>
      </c>
      <c r="V170">
        <v>137.4</v>
      </c>
      <c r="W170">
        <v>137.9</v>
      </c>
      <c r="X170">
        <v>133.4</v>
      </c>
      <c r="Y170">
        <v>121.2</v>
      </c>
      <c r="Z170">
        <v>132.30000000000001</v>
      </c>
      <c r="AA170">
        <v>139.6</v>
      </c>
      <c r="AB170">
        <v>126.7</v>
      </c>
      <c r="AC170">
        <v>130.30000000000001</v>
      </c>
      <c r="AD170">
        <v>137.6</v>
      </c>
    </row>
    <row r="171" spans="1:30" x14ac:dyDescent="0.35">
      <c r="A171" t="s">
        <v>14</v>
      </c>
      <c r="B171">
        <v>2017</v>
      </c>
      <c r="C171" t="s">
        <v>23</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15</v>
      </c>
      <c r="B172">
        <v>2017</v>
      </c>
      <c r="C172" t="s">
        <v>23</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11</v>
      </c>
      <c r="B173">
        <v>2017</v>
      </c>
      <c r="C173" t="s">
        <v>24</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13</v>
      </c>
      <c r="V173">
        <v>138.1</v>
      </c>
      <c r="W173">
        <v>138.4</v>
      </c>
      <c r="X173">
        <v>134.19999999999999</v>
      </c>
      <c r="Y173">
        <v>121</v>
      </c>
      <c r="Z173">
        <v>133</v>
      </c>
      <c r="AA173">
        <v>140.1</v>
      </c>
      <c r="AB173">
        <v>127.4</v>
      </c>
      <c r="AC173">
        <v>130.69999999999999</v>
      </c>
      <c r="AD173">
        <v>138.30000000000001</v>
      </c>
    </row>
    <row r="174" spans="1:30" x14ac:dyDescent="0.35">
      <c r="A174" t="s">
        <v>14</v>
      </c>
      <c r="B174">
        <v>2017</v>
      </c>
      <c r="C174" t="s">
        <v>24</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15</v>
      </c>
      <c r="B175">
        <v>2017</v>
      </c>
      <c r="C175" t="s">
        <v>24</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11</v>
      </c>
      <c r="B176">
        <v>2017</v>
      </c>
      <c r="C176" t="s">
        <v>26</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13</v>
      </c>
      <c r="V176">
        <v>141.1</v>
      </c>
      <c r="W176">
        <v>139.4</v>
      </c>
      <c r="X176">
        <v>135.80000000000001</v>
      </c>
      <c r="Y176">
        <v>121.6</v>
      </c>
      <c r="Z176">
        <v>133.69999999999999</v>
      </c>
      <c r="AA176">
        <v>141.5</v>
      </c>
      <c r="AB176">
        <v>128.1</v>
      </c>
      <c r="AC176">
        <v>131.69999999999999</v>
      </c>
      <c r="AD176">
        <v>140</v>
      </c>
    </row>
    <row r="177" spans="1:30" x14ac:dyDescent="0.35">
      <c r="A177" t="s">
        <v>14</v>
      </c>
      <c r="B177">
        <v>2017</v>
      </c>
      <c r="C177" t="s">
        <v>26</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15</v>
      </c>
      <c r="B178">
        <v>2017</v>
      </c>
      <c r="C178" t="s">
        <v>26</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11</v>
      </c>
      <c r="B179">
        <v>2017</v>
      </c>
      <c r="C179" t="s">
        <v>27</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13</v>
      </c>
      <c r="V179">
        <v>142.6</v>
      </c>
      <c r="W179">
        <v>139.5</v>
      </c>
      <c r="X179">
        <v>136.1</v>
      </c>
      <c r="Y179">
        <v>122</v>
      </c>
      <c r="Z179">
        <v>133.4</v>
      </c>
      <c r="AA179">
        <v>141.1</v>
      </c>
      <c r="AB179">
        <v>127.8</v>
      </c>
      <c r="AC179">
        <v>131.9</v>
      </c>
      <c r="AD179">
        <v>139.80000000000001</v>
      </c>
    </row>
    <row r="180" spans="1:30" x14ac:dyDescent="0.35">
      <c r="A180" t="s">
        <v>14</v>
      </c>
      <c r="B180">
        <v>2017</v>
      </c>
      <c r="C180" t="s">
        <v>27</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15</v>
      </c>
      <c r="B181">
        <v>2017</v>
      </c>
      <c r="C181" t="s">
        <v>27</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11</v>
      </c>
      <c r="B182">
        <v>2018</v>
      </c>
      <c r="C182" t="s">
        <v>12</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13</v>
      </c>
      <c r="V182">
        <v>142.30000000000001</v>
      </c>
      <c r="W182">
        <v>139.80000000000001</v>
      </c>
      <c r="X182">
        <v>136</v>
      </c>
      <c r="Y182">
        <v>122.7</v>
      </c>
      <c r="Z182">
        <v>134.30000000000001</v>
      </c>
      <c r="AA182">
        <v>141.6</v>
      </c>
      <c r="AB182">
        <v>128.6</v>
      </c>
      <c r="AC182">
        <v>132.30000000000001</v>
      </c>
      <c r="AD182">
        <v>139.30000000000001</v>
      </c>
    </row>
    <row r="183" spans="1:30" x14ac:dyDescent="0.35">
      <c r="A183" t="s">
        <v>14</v>
      </c>
      <c r="B183">
        <v>2018</v>
      </c>
      <c r="C183" t="s">
        <v>12</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15</v>
      </c>
      <c r="B184">
        <v>2018</v>
      </c>
      <c r="C184" t="s">
        <v>12</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11</v>
      </c>
      <c r="B185">
        <v>2018</v>
      </c>
      <c r="C185" t="s">
        <v>16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13</v>
      </c>
      <c r="V185">
        <v>142.4</v>
      </c>
      <c r="W185">
        <v>139.9</v>
      </c>
      <c r="X185">
        <v>136.19999999999999</v>
      </c>
      <c r="Y185">
        <v>123.3</v>
      </c>
      <c r="Z185">
        <v>134.30000000000001</v>
      </c>
      <c r="AA185">
        <v>141.5</v>
      </c>
      <c r="AB185">
        <v>128.80000000000001</v>
      </c>
      <c r="AC185">
        <v>132.5</v>
      </c>
      <c r="AD185">
        <v>138.5</v>
      </c>
    </row>
    <row r="186" spans="1:30" x14ac:dyDescent="0.35">
      <c r="A186" t="s">
        <v>14</v>
      </c>
      <c r="B186">
        <v>2018</v>
      </c>
      <c r="C186" t="s">
        <v>16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15</v>
      </c>
      <c r="B187">
        <v>2018</v>
      </c>
      <c r="C187" t="s">
        <v>16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11</v>
      </c>
      <c r="B188">
        <v>2018</v>
      </c>
      <c r="C188" t="s">
        <v>17</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13</v>
      </c>
      <c r="V188">
        <v>142.6</v>
      </c>
      <c r="W188">
        <v>139.9</v>
      </c>
      <c r="X188">
        <v>136.69999999999999</v>
      </c>
      <c r="Y188">
        <v>124.6</v>
      </c>
      <c r="Z188">
        <v>135.1</v>
      </c>
      <c r="AA188">
        <v>142.69999999999999</v>
      </c>
      <c r="AB188">
        <v>129.30000000000001</v>
      </c>
      <c r="AC188">
        <v>133.30000000000001</v>
      </c>
      <c r="AD188">
        <v>138.69999999999999</v>
      </c>
    </row>
    <row r="189" spans="1:30" x14ac:dyDescent="0.35">
      <c r="A189" t="s">
        <v>14</v>
      </c>
      <c r="B189">
        <v>2018</v>
      </c>
      <c r="C189" t="s">
        <v>17</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15</v>
      </c>
      <c r="B190">
        <v>2018</v>
      </c>
      <c r="C190" t="s">
        <v>17</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11</v>
      </c>
      <c r="B191">
        <v>2018</v>
      </c>
      <c r="C191" t="s">
        <v>18</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13</v>
      </c>
      <c r="V191">
        <v>143.80000000000001</v>
      </c>
      <c r="W191">
        <v>140.9</v>
      </c>
      <c r="X191">
        <v>137.6</v>
      </c>
      <c r="Y191">
        <v>125.3</v>
      </c>
      <c r="Z191">
        <v>136</v>
      </c>
      <c r="AA191">
        <v>143.69999999999999</v>
      </c>
      <c r="AB191">
        <v>130.4</v>
      </c>
      <c r="AC191">
        <v>134.19999999999999</v>
      </c>
      <c r="AD191">
        <v>139.1</v>
      </c>
    </row>
    <row r="192" spans="1:30" x14ac:dyDescent="0.35">
      <c r="A192" t="s">
        <v>14</v>
      </c>
      <c r="B192">
        <v>2018</v>
      </c>
      <c r="C192" t="s">
        <v>18</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15</v>
      </c>
      <c r="B193">
        <v>2018</v>
      </c>
      <c r="C193" t="s">
        <v>18</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11</v>
      </c>
      <c r="B194">
        <v>2018</v>
      </c>
      <c r="C194" t="s">
        <v>19</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13</v>
      </c>
      <c r="V194">
        <v>144.30000000000001</v>
      </c>
      <c r="W194">
        <v>141.80000000000001</v>
      </c>
      <c r="X194">
        <v>138.4</v>
      </c>
      <c r="Y194">
        <v>126.4</v>
      </c>
      <c r="Z194">
        <v>136.80000000000001</v>
      </c>
      <c r="AA194">
        <v>144.4</v>
      </c>
      <c r="AB194">
        <v>131.19999999999999</v>
      </c>
      <c r="AC194">
        <v>135.1</v>
      </c>
      <c r="AD194">
        <v>139.80000000000001</v>
      </c>
    </row>
    <row r="195" spans="1:30" x14ac:dyDescent="0.35">
      <c r="A195" t="s">
        <v>14</v>
      </c>
      <c r="B195">
        <v>2018</v>
      </c>
      <c r="C195" t="s">
        <v>19</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15</v>
      </c>
      <c r="B196">
        <v>2018</v>
      </c>
      <c r="C196" t="s">
        <v>19</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11</v>
      </c>
      <c r="B197">
        <v>2018</v>
      </c>
      <c r="C197" t="s">
        <v>20</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13</v>
      </c>
      <c r="V197">
        <v>145.1</v>
      </c>
      <c r="W197">
        <v>142.19999999999999</v>
      </c>
      <c r="X197">
        <v>138.4</v>
      </c>
      <c r="Y197">
        <v>127.4</v>
      </c>
      <c r="Z197">
        <v>137.80000000000001</v>
      </c>
      <c r="AA197">
        <v>145.1</v>
      </c>
      <c r="AB197">
        <v>131.4</v>
      </c>
      <c r="AC197">
        <v>135.6</v>
      </c>
      <c r="AD197">
        <v>140.5</v>
      </c>
    </row>
    <row r="198" spans="1:30" x14ac:dyDescent="0.35">
      <c r="A198" t="s">
        <v>14</v>
      </c>
      <c r="B198">
        <v>2018</v>
      </c>
      <c r="C198" t="s">
        <v>20</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15</v>
      </c>
      <c r="B199">
        <v>2018</v>
      </c>
      <c r="C199" t="s">
        <v>20</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11</v>
      </c>
      <c r="B200">
        <v>2018</v>
      </c>
      <c r="C200" t="s">
        <v>21</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13</v>
      </c>
      <c r="V200">
        <v>146.80000000000001</v>
      </c>
      <c r="W200">
        <v>143.1</v>
      </c>
      <c r="X200">
        <v>139</v>
      </c>
      <c r="Y200">
        <v>127.5</v>
      </c>
      <c r="Z200">
        <v>138.4</v>
      </c>
      <c r="AA200">
        <v>145.80000000000001</v>
      </c>
      <c r="AB200">
        <v>131.4</v>
      </c>
      <c r="AC200">
        <v>136</v>
      </c>
      <c r="AD200">
        <v>141.80000000000001</v>
      </c>
    </row>
    <row r="201" spans="1:30" x14ac:dyDescent="0.35">
      <c r="A201" t="s">
        <v>14</v>
      </c>
      <c r="B201">
        <v>2018</v>
      </c>
      <c r="C201" t="s">
        <v>21</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15</v>
      </c>
      <c r="B202">
        <v>2018</v>
      </c>
      <c r="C202" t="s">
        <v>21</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11</v>
      </c>
      <c r="B203">
        <v>2018</v>
      </c>
      <c r="C203" t="s">
        <v>22</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13</v>
      </c>
      <c r="V203">
        <v>147.69999999999999</v>
      </c>
      <c r="W203">
        <v>143.80000000000001</v>
      </c>
      <c r="X203">
        <v>139.4</v>
      </c>
      <c r="Y203">
        <v>128.30000000000001</v>
      </c>
      <c r="Z203">
        <v>138.6</v>
      </c>
      <c r="AA203">
        <v>146.9</v>
      </c>
      <c r="AB203">
        <v>131.30000000000001</v>
      </c>
      <c r="AC203">
        <v>136.6</v>
      </c>
      <c r="AD203">
        <v>142.5</v>
      </c>
    </row>
    <row r="204" spans="1:30" x14ac:dyDescent="0.35">
      <c r="A204" t="s">
        <v>14</v>
      </c>
      <c r="B204">
        <v>2018</v>
      </c>
      <c r="C204" t="s">
        <v>22</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15</v>
      </c>
      <c r="B205">
        <v>2018</v>
      </c>
      <c r="C205" t="s">
        <v>22</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11</v>
      </c>
      <c r="B206">
        <v>2018</v>
      </c>
      <c r="C206" t="s">
        <v>23</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13</v>
      </c>
      <c r="V206">
        <v>149</v>
      </c>
      <c r="W206">
        <v>144</v>
      </c>
      <c r="X206">
        <v>140</v>
      </c>
      <c r="Y206">
        <v>129.9</v>
      </c>
      <c r="Z206">
        <v>140</v>
      </c>
      <c r="AA206">
        <v>147.6</v>
      </c>
      <c r="AB206">
        <v>132</v>
      </c>
      <c r="AC206">
        <v>137.4</v>
      </c>
      <c r="AD206">
        <v>142.1</v>
      </c>
    </row>
    <row r="207" spans="1:30" x14ac:dyDescent="0.35">
      <c r="A207" t="s">
        <v>14</v>
      </c>
      <c r="B207">
        <v>2018</v>
      </c>
      <c r="C207" t="s">
        <v>23</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15</v>
      </c>
      <c r="B208">
        <v>2018</v>
      </c>
      <c r="C208" t="s">
        <v>23</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11</v>
      </c>
      <c r="B209">
        <v>2018</v>
      </c>
      <c r="C209" t="s">
        <v>24</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13</v>
      </c>
      <c r="V209">
        <v>149.69999999999999</v>
      </c>
      <c r="W209">
        <v>147.5</v>
      </c>
      <c r="X209">
        <v>144.80000000000001</v>
      </c>
      <c r="Y209">
        <v>130.80000000000001</v>
      </c>
      <c r="Z209">
        <v>140.1</v>
      </c>
      <c r="AA209">
        <v>148</v>
      </c>
      <c r="AB209">
        <v>134.4</v>
      </c>
      <c r="AC209">
        <v>139.80000000000001</v>
      </c>
      <c r="AD209">
        <v>142.19999999999999</v>
      </c>
    </row>
    <row r="210" spans="1:30" x14ac:dyDescent="0.35">
      <c r="A210" t="s">
        <v>14</v>
      </c>
      <c r="B210">
        <v>2018</v>
      </c>
      <c r="C210" t="s">
        <v>24</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15</v>
      </c>
      <c r="B211">
        <v>2018</v>
      </c>
      <c r="C211" t="s">
        <v>24</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11</v>
      </c>
      <c r="B212">
        <v>2018</v>
      </c>
      <c r="C212" t="s">
        <v>26</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13</v>
      </c>
      <c r="V212">
        <v>150.30000000000001</v>
      </c>
      <c r="W212">
        <v>148</v>
      </c>
      <c r="X212">
        <v>145.4</v>
      </c>
      <c r="Y212">
        <v>130.30000000000001</v>
      </c>
      <c r="Z212">
        <v>143.1</v>
      </c>
      <c r="AA212">
        <v>150.19999999999999</v>
      </c>
      <c r="AB212">
        <v>133.1</v>
      </c>
      <c r="AC212">
        <v>140.1</v>
      </c>
      <c r="AD212">
        <v>142.4</v>
      </c>
    </row>
    <row r="213" spans="1:30" x14ac:dyDescent="0.35">
      <c r="A213" t="s">
        <v>14</v>
      </c>
      <c r="B213">
        <v>2018</v>
      </c>
      <c r="C213" t="s">
        <v>26</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15</v>
      </c>
      <c r="B214">
        <v>2018</v>
      </c>
      <c r="C214" t="s">
        <v>26</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11</v>
      </c>
      <c r="B215">
        <v>2018</v>
      </c>
      <c r="C215" t="s">
        <v>27</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13</v>
      </c>
      <c r="V215">
        <v>149</v>
      </c>
      <c r="W215">
        <v>149.5</v>
      </c>
      <c r="X215">
        <v>149.6</v>
      </c>
      <c r="Y215">
        <v>128.9</v>
      </c>
      <c r="Z215">
        <v>143.30000000000001</v>
      </c>
      <c r="AA215">
        <v>155.1</v>
      </c>
      <c r="AB215">
        <v>133.19999999999999</v>
      </c>
      <c r="AC215">
        <v>141.6</v>
      </c>
      <c r="AD215">
        <v>141.9</v>
      </c>
    </row>
    <row r="216" spans="1:30" x14ac:dyDescent="0.35">
      <c r="A216" t="s">
        <v>14</v>
      </c>
      <c r="B216">
        <v>2018</v>
      </c>
      <c r="C216" t="s">
        <v>27</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15</v>
      </c>
      <c r="B217">
        <v>2018</v>
      </c>
      <c r="C217" t="s">
        <v>27</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11</v>
      </c>
      <c r="B218">
        <v>2019</v>
      </c>
      <c r="C218" t="s">
        <v>12</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13</v>
      </c>
      <c r="V218">
        <v>146.19999999999999</v>
      </c>
      <c r="W218">
        <v>150.1</v>
      </c>
      <c r="X218">
        <v>149.6</v>
      </c>
      <c r="Y218">
        <v>128.6</v>
      </c>
      <c r="Z218">
        <v>142.9</v>
      </c>
      <c r="AA218">
        <v>155.19999999999999</v>
      </c>
      <c r="AB218">
        <v>133.5</v>
      </c>
      <c r="AC218">
        <v>141.69999999999999</v>
      </c>
      <c r="AD218">
        <v>141</v>
      </c>
    </row>
    <row r="219" spans="1:30" x14ac:dyDescent="0.35">
      <c r="A219" t="s">
        <v>14</v>
      </c>
      <c r="B219">
        <v>2019</v>
      </c>
      <c r="C219" t="s">
        <v>12</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15</v>
      </c>
      <c r="B220">
        <v>2019</v>
      </c>
      <c r="C220" t="s">
        <v>12</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11</v>
      </c>
      <c r="B221">
        <v>2019</v>
      </c>
      <c r="C221" t="s">
        <v>16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13</v>
      </c>
      <c r="V221">
        <v>145.30000000000001</v>
      </c>
      <c r="W221">
        <v>150.1</v>
      </c>
      <c r="X221">
        <v>149.9</v>
      </c>
      <c r="Y221">
        <v>129.19999999999999</v>
      </c>
      <c r="Z221">
        <v>143.4</v>
      </c>
      <c r="AA221">
        <v>155.5</v>
      </c>
      <c r="AB221">
        <v>134.9</v>
      </c>
      <c r="AC221">
        <v>142.19999999999999</v>
      </c>
      <c r="AD221">
        <v>141</v>
      </c>
    </row>
    <row r="222" spans="1:30" x14ac:dyDescent="0.35">
      <c r="A222" t="s">
        <v>14</v>
      </c>
      <c r="B222">
        <v>2019</v>
      </c>
      <c r="C222" t="s">
        <v>16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15</v>
      </c>
      <c r="B223">
        <v>2019</v>
      </c>
      <c r="C223" t="s">
        <v>16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11</v>
      </c>
      <c r="B224">
        <v>2019</v>
      </c>
      <c r="C224" t="s">
        <v>17</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13</v>
      </c>
      <c r="V224">
        <v>146.4</v>
      </c>
      <c r="W224">
        <v>150</v>
      </c>
      <c r="X224">
        <v>150.4</v>
      </c>
      <c r="Y224">
        <v>129.9</v>
      </c>
      <c r="Z224">
        <v>143.80000000000001</v>
      </c>
      <c r="AA224">
        <v>155.5</v>
      </c>
      <c r="AB224">
        <v>134</v>
      </c>
      <c r="AC224">
        <v>142.4</v>
      </c>
      <c r="AD224">
        <v>141.19999999999999</v>
      </c>
    </row>
    <row r="225" spans="1:30" x14ac:dyDescent="0.35">
      <c r="A225" t="s">
        <v>14</v>
      </c>
      <c r="B225">
        <v>2019</v>
      </c>
      <c r="C225" t="s">
        <v>17</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15</v>
      </c>
      <c r="B226">
        <v>2019</v>
      </c>
      <c r="C226" t="s">
        <v>17</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11</v>
      </c>
      <c r="B227">
        <v>2019</v>
      </c>
      <c r="C227" t="s">
        <v>19</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13</v>
      </c>
      <c r="V227">
        <v>146.9</v>
      </c>
      <c r="W227">
        <v>149.5</v>
      </c>
      <c r="X227">
        <v>151.30000000000001</v>
      </c>
      <c r="Y227">
        <v>130.19999999999999</v>
      </c>
      <c r="Z227">
        <v>145.9</v>
      </c>
      <c r="AA227">
        <v>156.69999999999999</v>
      </c>
      <c r="AB227">
        <v>133.9</v>
      </c>
      <c r="AC227">
        <v>142.9</v>
      </c>
      <c r="AD227">
        <v>142.4</v>
      </c>
    </row>
    <row r="228" spans="1:30" x14ac:dyDescent="0.35">
      <c r="A228" t="s">
        <v>14</v>
      </c>
      <c r="B228">
        <v>2019</v>
      </c>
      <c r="C228" t="s">
        <v>19</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15</v>
      </c>
      <c r="B229">
        <v>2019</v>
      </c>
      <c r="C229" t="s">
        <v>19</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11</v>
      </c>
      <c r="B230">
        <v>2019</v>
      </c>
      <c r="C230" t="s">
        <v>20</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13</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14</v>
      </c>
      <c r="B231">
        <v>2019</v>
      </c>
      <c r="C231" t="s">
        <v>20</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15</v>
      </c>
      <c r="B232">
        <v>2019</v>
      </c>
      <c r="C232" t="s">
        <v>20</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11</v>
      </c>
      <c r="B233">
        <v>2019</v>
      </c>
      <c r="C233" t="s">
        <v>21</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13</v>
      </c>
      <c r="V233">
        <v>146.80000000000001</v>
      </c>
      <c r="W233">
        <v>150</v>
      </c>
      <c r="X233">
        <v>152.19999999999999</v>
      </c>
      <c r="Y233">
        <v>131.19999999999999</v>
      </c>
      <c r="Z233">
        <v>147.5</v>
      </c>
      <c r="AA233">
        <v>159.1</v>
      </c>
      <c r="AB233">
        <v>136.1</v>
      </c>
      <c r="AC233">
        <v>144.19999999999999</v>
      </c>
      <c r="AD233">
        <v>144.9</v>
      </c>
    </row>
    <row r="234" spans="1:30" x14ac:dyDescent="0.35">
      <c r="A234" t="s">
        <v>14</v>
      </c>
      <c r="B234">
        <v>2019</v>
      </c>
      <c r="C234" t="s">
        <v>21</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15</v>
      </c>
      <c r="B235">
        <v>2019</v>
      </c>
      <c r="C235" t="s">
        <v>21</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11</v>
      </c>
      <c r="B236">
        <v>2019</v>
      </c>
      <c r="C236" t="s">
        <v>22</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13</v>
      </c>
      <c r="V236">
        <v>146.4</v>
      </c>
      <c r="W236">
        <v>150.19999999999999</v>
      </c>
      <c r="X236">
        <v>152.69999999999999</v>
      </c>
      <c r="Y236">
        <v>131.4</v>
      </c>
      <c r="Z236">
        <v>148</v>
      </c>
      <c r="AA236">
        <v>159.69999999999999</v>
      </c>
      <c r="AB236">
        <v>138.80000000000001</v>
      </c>
      <c r="AC236">
        <v>144.9</v>
      </c>
      <c r="AD236">
        <v>145.69999999999999</v>
      </c>
    </row>
    <row r="237" spans="1:30" x14ac:dyDescent="0.35">
      <c r="A237" t="s">
        <v>14</v>
      </c>
      <c r="B237">
        <v>2019</v>
      </c>
      <c r="C237" t="s">
        <v>22</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15</v>
      </c>
      <c r="B238">
        <v>2019</v>
      </c>
      <c r="C238" t="s">
        <v>22</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11</v>
      </c>
      <c r="B239">
        <v>2019</v>
      </c>
      <c r="C239" t="s">
        <v>23</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13</v>
      </c>
      <c r="V239">
        <v>146.9</v>
      </c>
      <c r="W239">
        <v>150.30000000000001</v>
      </c>
      <c r="X239">
        <v>153.4</v>
      </c>
      <c r="Y239">
        <v>131.6</v>
      </c>
      <c r="Z239">
        <v>148.30000000000001</v>
      </c>
      <c r="AA239">
        <v>160.19999999999999</v>
      </c>
      <c r="AB239">
        <v>140.19999999999999</v>
      </c>
      <c r="AC239">
        <v>145.4</v>
      </c>
      <c r="AD239">
        <v>146.69999999999999</v>
      </c>
    </row>
    <row r="240" spans="1:30" x14ac:dyDescent="0.35">
      <c r="A240" t="s">
        <v>14</v>
      </c>
      <c r="B240">
        <v>2019</v>
      </c>
      <c r="C240" t="s">
        <v>23</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15</v>
      </c>
      <c r="B241">
        <v>2019</v>
      </c>
      <c r="C241" t="s">
        <v>23</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11</v>
      </c>
      <c r="B242">
        <v>2019</v>
      </c>
      <c r="C242" t="s">
        <v>24</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13</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14</v>
      </c>
      <c r="B243">
        <v>2019</v>
      </c>
      <c r="C243" t="s">
        <v>24</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15</v>
      </c>
      <c r="B244">
        <v>2019</v>
      </c>
      <c r="C244" t="s">
        <v>24</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11</v>
      </c>
      <c r="B245">
        <v>2019</v>
      </c>
      <c r="C245" t="s">
        <v>26</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13</v>
      </c>
      <c r="V245">
        <v>148.4</v>
      </c>
      <c r="W245">
        <v>150.9</v>
      </c>
      <c r="X245">
        <v>154.30000000000001</v>
      </c>
      <c r="Y245">
        <v>132.1</v>
      </c>
      <c r="Z245">
        <v>149.1</v>
      </c>
      <c r="AA245">
        <v>160.80000000000001</v>
      </c>
      <c r="AB245">
        <v>140.6</v>
      </c>
      <c r="AC245">
        <v>146.1</v>
      </c>
      <c r="AD245">
        <v>149.9</v>
      </c>
    </row>
    <row r="246" spans="1:30" x14ac:dyDescent="0.35">
      <c r="A246" t="s">
        <v>14</v>
      </c>
      <c r="B246">
        <v>2019</v>
      </c>
      <c r="C246" t="s">
        <v>26</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15</v>
      </c>
      <c r="B247">
        <v>2019</v>
      </c>
      <c r="C247" t="s">
        <v>26</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11</v>
      </c>
      <c r="B248">
        <v>2019</v>
      </c>
      <c r="C248" t="s">
        <v>27</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13</v>
      </c>
      <c r="V248">
        <v>149.9</v>
      </c>
      <c r="W248">
        <v>151.19999999999999</v>
      </c>
      <c r="X248">
        <v>154.80000000000001</v>
      </c>
      <c r="Y248">
        <v>135</v>
      </c>
      <c r="Z248">
        <v>149.5</v>
      </c>
      <c r="AA248">
        <v>161.1</v>
      </c>
      <c r="AB248">
        <v>140.6</v>
      </c>
      <c r="AC248">
        <v>147.1</v>
      </c>
      <c r="AD248">
        <v>152.30000000000001</v>
      </c>
    </row>
    <row r="249" spans="1:30" x14ac:dyDescent="0.35">
      <c r="A249" t="s">
        <v>14</v>
      </c>
      <c r="B249">
        <v>2019</v>
      </c>
      <c r="C249" t="s">
        <v>27</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15</v>
      </c>
      <c r="B250">
        <v>2019</v>
      </c>
      <c r="C250" t="s">
        <v>27</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11</v>
      </c>
      <c r="B251">
        <v>2020</v>
      </c>
      <c r="C251" t="s">
        <v>12</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13</v>
      </c>
      <c r="V251">
        <v>150.4</v>
      </c>
      <c r="W251">
        <v>151.69999999999999</v>
      </c>
      <c r="X251">
        <v>155.69999999999999</v>
      </c>
      <c r="Y251">
        <v>136.30000000000001</v>
      </c>
      <c r="Z251">
        <v>150.1</v>
      </c>
      <c r="AA251">
        <v>161.69999999999999</v>
      </c>
      <c r="AB251">
        <v>142.5</v>
      </c>
      <c r="AC251">
        <v>148.1</v>
      </c>
      <c r="AD251">
        <v>151.9</v>
      </c>
    </row>
    <row r="252" spans="1:30" x14ac:dyDescent="0.35">
      <c r="A252" t="s">
        <v>14</v>
      </c>
      <c r="B252">
        <v>2020</v>
      </c>
      <c r="C252" t="s">
        <v>12</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15</v>
      </c>
      <c r="B253">
        <v>2020</v>
      </c>
      <c r="C253" t="s">
        <v>12</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11</v>
      </c>
      <c r="B254">
        <v>2020</v>
      </c>
      <c r="C254" t="s">
        <v>16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13</v>
      </c>
      <c r="V254">
        <v>152.30000000000001</v>
      </c>
      <c r="W254">
        <v>151.80000000000001</v>
      </c>
      <c r="X254">
        <v>156.19999999999999</v>
      </c>
      <c r="Y254">
        <v>136</v>
      </c>
      <c r="Z254">
        <v>150.4</v>
      </c>
      <c r="AA254">
        <v>161.9</v>
      </c>
      <c r="AB254">
        <v>143.4</v>
      </c>
      <c r="AC254">
        <v>148.4</v>
      </c>
      <c r="AD254">
        <v>150.4</v>
      </c>
    </row>
    <row r="255" spans="1:30" x14ac:dyDescent="0.35">
      <c r="A255" t="s">
        <v>14</v>
      </c>
      <c r="B255">
        <v>2020</v>
      </c>
      <c r="C255" t="s">
        <v>16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15</v>
      </c>
      <c r="B256">
        <v>2020</v>
      </c>
      <c r="C256" t="s">
        <v>16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11</v>
      </c>
      <c r="B257">
        <v>2020</v>
      </c>
      <c r="C257" t="s">
        <v>17</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13</v>
      </c>
      <c r="V257">
        <v>153.4</v>
      </c>
      <c r="W257">
        <v>151.5</v>
      </c>
      <c r="X257">
        <v>156.69999999999999</v>
      </c>
      <c r="Y257">
        <v>135.80000000000001</v>
      </c>
      <c r="Z257">
        <v>151.19999999999999</v>
      </c>
      <c r="AA257">
        <v>161.19999999999999</v>
      </c>
      <c r="AB257">
        <v>145.1</v>
      </c>
      <c r="AC257">
        <v>148.6</v>
      </c>
      <c r="AD257">
        <v>149.80000000000001</v>
      </c>
    </row>
    <row r="258" spans="1:30" x14ac:dyDescent="0.35">
      <c r="A258" t="s">
        <v>14</v>
      </c>
      <c r="B258">
        <v>2020</v>
      </c>
      <c r="C258" t="s">
        <v>17</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15</v>
      </c>
      <c r="B259">
        <v>2020</v>
      </c>
      <c r="C259" t="s">
        <v>17</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11</v>
      </c>
      <c r="B260">
        <v>2020</v>
      </c>
      <c r="C260" t="s">
        <v>18</v>
      </c>
      <c r="D260">
        <v>147.19999999999999</v>
      </c>
      <c r="E260" t="s">
        <v>13</v>
      </c>
      <c r="F260">
        <v>146.9</v>
      </c>
      <c r="G260">
        <v>155.6</v>
      </c>
      <c r="H260">
        <v>137.1</v>
      </c>
      <c r="I260">
        <v>147.30000000000001</v>
      </c>
      <c r="J260">
        <v>162.69999999999999</v>
      </c>
      <c r="K260">
        <v>150.19999999999999</v>
      </c>
      <c r="L260">
        <v>119.8</v>
      </c>
      <c r="M260">
        <v>158.69999999999999</v>
      </c>
      <c r="N260">
        <v>139.19999999999999</v>
      </c>
      <c r="O260" t="s">
        <v>13</v>
      </c>
      <c r="P260">
        <v>150.1</v>
      </c>
      <c r="Q260" t="s">
        <v>13</v>
      </c>
      <c r="R260" t="s">
        <v>13</v>
      </c>
      <c r="S260" t="s">
        <v>13</v>
      </c>
      <c r="T260" t="s">
        <v>13</v>
      </c>
      <c r="U260" t="s">
        <v>13</v>
      </c>
      <c r="V260">
        <v>148.4</v>
      </c>
      <c r="W260" t="s">
        <v>13</v>
      </c>
      <c r="X260">
        <v>154.30000000000001</v>
      </c>
      <c r="Y260" t="s">
        <v>13</v>
      </c>
      <c r="Z260" t="s">
        <v>13</v>
      </c>
      <c r="AA260" t="s">
        <v>13</v>
      </c>
      <c r="AB260" t="s">
        <v>13</v>
      </c>
      <c r="AC260" t="s">
        <v>13</v>
      </c>
      <c r="AD260" t="s">
        <v>13</v>
      </c>
    </row>
    <row r="261" spans="1:30" x14ac:dyDescent="0.35">
      <c r="A261" t="s">
        <v>14</v>
      </c>
      <c r="B261">
        <v>2020</v>
      </c>
      <c r="C261" t="s">
        <v>18</v>
      </c>
      <c r="D261">
        <v>151.80000000000001</v>
      </c>
      <c r="E261" t="s">
        <v>13</v>
      </c>
      <c r="F261">
        <v>151.9</v>
      </c>
      <c r="G261">
        <v>155.5</v>
      </c>
      <c r="H261">
        <v>131.6</v>
      </c>
      <c r="I261">
        <v>152.9</v>
      </c>
      <c r="J261">
        <v>180</v>
      </c>
      <c r="K261">
        <v>150.80000000000001</v>
      </c>
      <c r="L261">
        <v>121.2</v>
      </c>
      <c r="M261">
        <v>154</v>
      </c>
      <c r="N261">
        <v>133.5</v>
      </c>
      <c r="O261" t="s">
        <v>13</v>
      </c>
      <c r="P261">
        <v>153.5</v>
      </c>
      <c r="Q261" t="s">
        <v>13</v>
      </c>
      <c r="R261" t="s">
        <v>13</v>
      </c>
      <c r="S261" t="s">
        <v>13</v>
      </c>
      <c r="T261" t="s">
        <v>13</v>
      </c>
      <c r="U261">
        <v>155.6</v>
      </c>
      <c r="V261">
        <v>137.1</v>
      </c>
      <c r="W261" t="s">
        <v>13</v>
      </c>
      <c r="X261">
        <v>144.80000000000001</v>
      </c>
      <c r="Y261" t="s">
        <v>13</v>
      </c>
      <c r="Z261" t="s">
        <v>13</v>
      </c>
      <c r="AA261" t="s">
        <v>13</v>
      </c>
      <c r="AB261" t="s">
        <v>13</v>
      </c>
      <c r="AC261" t="s">
        <v>13</v>
      </c>
      <c r="AD261" t="s">
        <v>13</v>
      </c>
    </row>
    <row r="262" spans="1:30" x14ac:dyDescent="0.35">
      <c r="A262" t="s">
        <v>15</v>
      </c>
      <c r="B262">
        <v>2020</v>
      </c>
      <c r="C262" t="s">
        <v>18</v>
      </c>
      <c r="D262">
        <v>148.69999999999999</v>
      </c>
      <c r="E262" t="s">
        <v>13</v>
      </c>
      <c r="F262">
        <v>148.80000000000001</v>
      </c>
      <c r="G262">
        <v>155.6</v>
      </c>
      <c r="H262">
        <v>135.1</v>
      </c>
      <c r="I262">
        <v>149.9</v>
      </c>
      <c r="J262">
        <v>168.6</v>
      </c>
      <c r="K262">
        <v>150.4</v>
      </c>
      <c r="L262">
        <v>120.3</v>
      </c>
      <c r="M262">
        <v>157.1</v>
      </c>
      <c r="N262">
        <v>136.80000000000001</v>
      </c>
      <c r="O262" t="s">
        <v>13</v>
      </c>
      <c r="P262">
        <v>151.4</v>
      </c>
      <c r="Q262" t="s">
        <v>13</v>
      </c>
      <c r="R262" t="s">
        <v>13</v>
      </c>
      <c r="S262" t="s">
        <v>13</v>
      </c>
      <c r="T262" t="s">
        <v>13</v>
      </c>
      <c r="U262">
        <v>155.6</v>
      </c>
      <c r="V262">
        <v>144.1</v>
      </c>
      <c r="W262" t="s">
        <v>13</v>
      </c>
      <c r="X262">
        <v>150.69999999999999</v>
      </c>
      <c r="Y262" t="s">
        <v>13</v>
      </c>
      <c r="Z262" t="s">
        <v>13</v>
      </c>
      <c r="AA262" t="s">
        <v>13</v>
      </c>
      <c r="AB262" t="s">
        <v>13</v>
      </c>
      <c r="AC262" t="s">
        <v>13</v>
      </c>
      <c r="AD262" t="s">
        <v>13</v>
      </c>
    </row>
    <row r="263" spans="1:30" x14ac:dyDescent="0.35">
      <c r="A263" t="s">
        <v>11</v>
      </c>
      <c r="B263">
        <v>2020</v>
      </c>
      <c r="C263" t="s">
        <v>19</v>
      </c>
      <c r="D263" t="s">
        <v>13</v>
      </c>
      <c r="E263" t="s">
        <v>13</v>
      </c>
      <c r="F263" t="s">
        <v>13</v>
      </c>
      <c r="G263" t="s">
        <v>13</v>
      </c>
      <c r="H263" t="s">
        <v>13</v>
      </c>
      <c r="I263" t="s">
        <v>13</v>
      </c>
      <c r="J263" t="s">
        <v>13</v>
      </c>
      <c r="K263" t="s">
        <v>13</v>
      </c>
      <c r="L263" t="s">
        <v>13</v>
      </c>
      <c r="M263" t="s">
        <v>13</v>
      </c>
      <c r="N263" t="s">
        <v>13</v>
      </c>
      <c r="O263" t="s">
        <v>13</v>
      </c>
      <c r="P263" t="s">
        <v>13</v>
      </c>
      <c r="Q263" t="s">
        <v>13</v>
      </c>
      <c r="R263" t="s">
        <v>13</v>
      </c>
      <c r="S263" t="s">
        <v>13</v>
      </c>
      <c r="T263" t="s">
        <v>13</v>
      </c>
      <c r="U263" t="s">
        <v>13</v>
      </c>
      <c r="V263" t="s">
        <v>13</v>
      </c>
      <c r="W263" t="s">
        <v>13</v>
      </c>
      <c r="X263" t="s">
        <v>13</v>
      </c>
      <c r="Y263" t="s">
        <v>13</v>
      </c>
      <c r="Z263" t="s">
        <v>13</v>
      </c>
      <c r="AA263" t="s">
        <v>13</v>
      </c>
      <c r="AB263" t="s">
        <v>13</v>
      </c>
      <c r="AC263" t="s">
        <v>13</v>
      </c>
      <c r="AD263" t="s">
        <v>13</v>
      </c>
    </row>
    <row r="264" spans="1:30" x14ac:dyDescent="0.35">
      <c r="A264" t="s">
        <v>14</v>
      </c>
      <c r="B264">
        <v>2020</v>
      </c>
      <c r="C264" t="s">
        <v>19</v>
      </c>
      <c r="D264" t="s">
        <v>13</v>
      </c>
      <c r="E264" t="s">
        <v>13</v>
      </c>
      <c r="F264" t="s">
        <v>13</v>
      </c>
      <c r="G264" t="s">
        <v>13</v>
      </c>
      <c r="H264" t="s">
        <v>13</v>
      </c>
      <c r="I264" t="s">
        <v>13</v>
      </c>
      <c r="J264" t="s">
        <v>13</v>
      </c>
      <c r="K264" t="s">
        <v>13</v>
      </c>
      <c r="L264" t="s">
        <v>13</v>
      </c>
      <c r="M264" t="s">
        <v>13</v>
      </c>
      <c r="N264" t="s">
        <v>13</v>
      </c>
      <c r="O264" t="s">
        <v>13</v>
      </c>
      <c r="P264" t="s">
        <v>13</v>
      </c>
      <c r="Q264" t="s">
        <v>13</v>
      </c>
      <c r="R264" t="s">
        <v>13</v>
      </c>
      <c r="S264" t="s">
        <v>13</v>
      </c>
      <c r="T264" t="s">
        <v>13</v>
      </c>
      <c r="U264" t="s">
        <v>13</v>
      </c>
      <c r="V264" t="s">
        <v>13</v>
      </c>
      <c r="W264" t="s">
        <v>13</v>
      </c>
      <c r="X264" t="s">
        <v>13</v>
      </c>
      <c r="Y264" t="s">
        <v>13</v>
      </c>
      <c r="Z264" t="s">
        <v>13</v>
      </c>
      <c r="AA264" t="s">
        <v>13</v>
      </c>
      <c r="AB264" t="s">
        <v>13</v>
      </c>
      <c r="AC264" t="s">
        <v>13</v>
      </c>
      <c r="AD264" t="s">
        <v>13</v>
      </c>
    </row>
    <row r="265" spans="1:30" x14ac:dyDescent="0.35">
      <c r="A265" t="s">
        <v>15</v>
      </c>
      <c r="B265">
        <v>2020</v>
      </c>
      <c r="C265" t="s">
        <v>19</v>
      </c>
      <c r="D265" t="s">
        <v>13</v>
      </c>
      <c r="E265" t="s">
        <v>13</v>
      </c>
      <c r="F265" t="s">
        <v>13</v>
      </c>
      <c r="G265" t="s">
        <v>13</v>
      </c>
      <c r="H265" t="s">
        <v>13</v>
      </c>
      <c r="I265" t="s">
        <v>13</v>
      </c>
      <c r="J265" t="s">
        <v>13</v>
      </c>
      <c r="K265" t="s">
        <v>13</v>
      </c>
      <c r="L265" t="s">
        <v>13</v>
      </c>
      <c r="M265" t="s">
        <v>13</v>
      </c>
      <c r="N265" t="s">
        <v>13</v>
      </c>
      <c r="O265" t="s">
        <v>13</v>
      </c>
      <c r="P265" t="s">
        <v>13</v>
      </c>
      <c r="Q265" t="s">
        <v>13</v>
      </c>
      <c r="R265" t="s">
        <v>13</v>
      </c>
      <c r="S265" t="s">
        <v>13</v>
      </c>
      <c r="T265" t="s">
        <v>13</v>
      </c>
      <c r="U265" t="s">
        <v>13</v>
      </c>
      <c r="V265" t="s">
        <v>13</v>
      </c>
      <c r="W265" t="s">
        <v>13</v>
      </c>
      <c r="X265" t="s">
        <v>13</v>
      </c>
      <c r="Y265" t="s">
        <v>13</v>
      </c>
      <c r="Z265" t="s">
        <v>13</v>
      </c>
      <c r="AA265" t="s">
        <v>13</v>
      </c>
      <c r="AB265" t="s">
        <v>13</v>
      </c>
      <c r="AC265" t="s">
        <v>13</v>
      </c>
      <c r="AD265" t="s">
        <v>13</v>
      </c>
    </row>
    <row r="266" spans="1:30" x14ac:dyDescent="0.35">
      <c r="A266" t="s">
        <v>11</v>
      </c>
      <c r="B266">
        <v>2020</v>
      </c>
      <c r="C266" t="s">
        <v>20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13</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14</v>
      </c>
      <c r="B267">
        <v>2020</v>
      </c>
      <c r="C267" t="s">
        <v>20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15</v>
      </c>
      <c r="B268">
        <v>2020</v>
      </c>
      <c r="C268" t="s">
        <v>20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11</v>
      </c>
      <c r="B269">
        <v>2020</v>
      </c>
      <c r="C269" t="s">
        <v>21</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13</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14</v>
      </c>
      <c r="B270">
        <v>2020</v>
      </c>
      <c r="C270" t="s">
        <v>21</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15</v>
      </c>
      <c r="B271">
        <v>2020</v>
      </c>
      <c r="C271" t="s">
        <v>21</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11</v>
      </c>
      <c r="B272">
        <v>2020</v>
      </c>
      <c r="C272" t="s">
        <v>22</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13</v>
      </c>
      <c r="V272">
        <v>145.80000000000001</v>
      </c>
      <c r="W272">
        <v>151.9</v>
      </c>
      <c r="X272">
        <v>158.80000000000001</v>
      </c>
      <c r="Y272">
        <v>143.6</v>
      </c>
      <c r="Z272">
        <v>152.19999999999999</v>
      </c>
      <c r="AA272">
        <v>162.69999999999999</v>
      </c>
      <c r="AB272">
        <v>153.6</v>
      </c>
      <c r="AC272">
        <v>153</v>
      </c>
      <c r="AD272">
        <v>154.69999999999999</v>
      </c>
    </row>
    <row r="273" spans="1:30" x14ac:dyDescent="0.35">
      <c r="A273" t="s">
        <v>14</v>
      </c>
      <c r="B273">
        <v>2020</v>
      </c>
      <c r="C273" t="s">
        <v>22</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15</v>
      </c>
      <c r="B274">
        <v>2020</v>
      </c>
      <c r="C274" t="s">
        <v>22</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11</v>
      </c>
      <c r="B275">
        <v>2020</v>
      </c>
      <c r="C275" t="s">
        <v>23</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13</v>
      </c>
      <c r="V275">
        <v>146.4</v>
      </c>
      <c r="W275">
        <v>151.6</v>
      </c>
      <c r="X275">
        <v>159.1</v>
      </c>
      <c r="Y275">
        <v>144.6</v>
      </c>
      <c r="Z275">
        <v>152.80000000000001</v>
      </c>
      <c r="AA275">
        <v>161.1</v>
      </c>
      <c r="AB275">
        <v>157.4</v>
      </c>
      <c r="AC275">
        <v>153.69999999999999</v>
      </c>
      <c r="AD275">
        <v>155.4</v>
      </c>
    </row>
    <row r="276" spans="1:30" x14ac:dyDescent="0.35">
      <c r="A276" t="s">
        <v>14</v>
      </c>
      <c r="B276">
        <v>2020</v>
      </c>
      <c r="C276" t="s">
        <v>23</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15</v>
      </c>
      <c r="B277">
        <v>2020</v>
      </c>
      <c r="C277" t="s">
        <v>23</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11</v>
      </c>
      <c r="B278">
        <v>2020</v>
      </c>
      <c r="C278" t="s">
        <v>24</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13</v>
      </c>
      <c r="V278">
        <v>146.80000000000001</v>
      </c>
      <c r="W278">
        <v>152</v>
      </c>
      <c r="X278">
        <v>159.5</v>
      </c>
      <c r="Y278">
        <v>146.4</v>
      </c>
      <c r="Z278">
        <v>152.4</v>
      </c>
      <c r="AA278">
        <v>162.5</v>
      </c>
      <c r="AB278">
        <v>156.19999999999999</v>
      </c>
      <c r="AC278">
        <v>154.30000000000001</v>
      </c>
      <c r="AD278">
        <v>157.5</v>
      </c>
    </row>
    <row r="279" spans="1:30" x14ac:dyDescent="0.35">
      <c r="A279" t="s">
        <v>14</v>
      </c>
      <c r="B279">
        <v>2020</v>
      </c>
      <c r="C279" t="s">
        <v>24</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15</v>
      </c>
      <c r="B280">
        <v>2020</v>
      </c>
      <c r="C280" t="s">
        <v>24</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11</v>
      </c>
      <c r="B281">
        <v>2020</v>
      </c>
      <c r="C281" t="s">
        <v>26</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13</v>
      </c>
      <c r="V281">
        <v>147.5</v>
      </c>
      <c r="W281">
        <v>152.80000000000001</v>
      </c>
      <c r="X281">
        <v>160.4</v>
      </c>
      <c r="Y281">
        <v>146.1</v>
      </c>
      <c r="Z281">
        <v>153.6</v>
      </c>
      <c r="AA281">
        <v>161.6</v>
      </c>
      <c r="AB281">
        <v>156.19999999999999</v>
      </c>
      <c r="AC281">
        <v>154.5</v>
      </c>
      <c r="AD281">
        <v>159.80000000000001</v>
      </c>
    </row>
    <row r="282" spans="1:30" x14ac:dyDescent="0.35">
      <c r="A282" t="s">
        <v>14</v>
      </c>
      <c r="B282">
        <v>2020</v>
      </c>
      <c r="C282" t="s">
        <v>26</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15</v>
      </c>
      <c r="B283">
        <v>2020</v>
      </c>
      <c r="C283" t="s">
        <v>26</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11</v>
      </c>
      <c r="B284">
        <v>2020</v>
      </c>
      <c r="C284" t="s">
        <v>27</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13</v>
      </c>
      <c r="V284">
        <v>148.69999999999999</v>
      </c>
      <c r="W284">
        <v>153.4</v>
      </c>
      <c r="X284">
        <v>161.6</v>
      </c>
      <c r="Y284">
        <v>146.4</v>
      </c>
      <c r="Z284">
        <v>153.9</v>
      </c>
      <c r="AA284">
        <v>162.9</v>
      </c>
      <c r="AB284">
        <v>156.6</v>
      </c>
      <c r="AC284">
        <v>155.19999999999999</v>
      </c>
      <c r="AD284">
        <v>160.69999999999999</v>
      </c>
    </row>
    <row r="285" spans="1:30" x14ac:dyDescent="0.35">
      <c r="A285" t="s">
        <v>14</v>
      </c>
      <c r="B285">
        <v>2020</v>
      </c>
      <c r="C285" t="s">
        <v>27</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15</v>
      </c>
      <c r="B286">
        <v>2020</v>
      </c>
      <c r="C286" t="s">
        <v>27</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11</v>
      </c>
      <c r="B287">
        <v>2021</v>
      </c>
      <c r="C287" t="s">
        <v>12</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13</v>
      </c>
      <c r="V287">
        <v>150.9</v>
      </c>
      <c r="W287">
        <v>153.9</v>
      </c>
      <c r="X287">
        <v>162.5</v>
      </c>
      <c r="Y287">
        <v>147.5</v>
      </c>
      <c r="Z287">
        <v>155.1</v>
      </c>
      <c r="AA287">
        <v>163.5</v>
      </c>
      <c r="AB287">
        <v>156.19999999999999</v>
      </c>
      <c r="AC287">
        <v>155.9</v>
      </c>
      <c r="AD287">
        <v>158.5</v>
      </c>
    </row>
    <row r="288" spans="1:30" x14ac:dyDescent="0.35">
      <c r="A288" t="s">
        <v>14</v>
      </c>
      <c r="B288">
        <v>2021</v>
      </c>
      <c r="C288" t="s">
        <v>12</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15</v>
      </c>
      <c r="B289">
        <v>2021</v>
      </c>
      <c r="C289" t="s">
        <v>12</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11</v>
      </c>
      <c r="B290">
        <v>2021</v>
      </c>
      <c r="C290" t="s">
        <v>16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13</v>
      </c>
      <c r="V290">
        <v>154.4</v>
      </c>
      <c r="W290">
        <v>154.80000000000001</v>
      </c>
      <c r="X290">
        <v>164.3</v>
      </c>
      <c r="Y290">
        <v>150.19999999999999</v>
      </c>
      <c r="Z290">
        <v>157</v>
      </c>
      <c r="AA290">
        <v>163.6</v>
      </c>
      <c r="AB290">
        <v>155.19999999999999</v>
      </c>
      <c r="AC290">
        <v>157.19999999999999</v>
      </c>
      <c r="AD290">
        <v>156.69999999999999</v>
      </c>
    </row>
    <row r="291" spans="1:30" x14ac:dyDescent="0.35">
      <c r="A291" t="s">
        <v>14</v>
      </c>
      <c r="B291">
        <v>2021</v>
      </c>
      <c r="C291" t="s">
        <v>16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15</v>
      </c>
      <c r="B292">
        <v>2021</v>
      </c>
      <c r="C292" t="s">
        <v>16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11</v>
      </c>
      <c r="B293">
        <v>2021</v>
      </c>
      <c r="C293" t="s">
        <v>17</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29</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14</v>
      </c>
      <c r="B294">
        <v>2021</v>
      </c>
      <c r="C294" t="s">
        <v>17</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15</v>
      </c>
      <c r="B295">
        <v>2021</v>
      </c>
      <c r="C295" t="s">
        <v>17</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11</v>
      </c>
      <c r="B296">
        <v>2021</v>
      </c>
      <c r="C296" t="s">
        <v>18</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29</v>
      </c>
      <c r="V296">
        <v>156</v>
      </c>
      <c r="W296">
        <v>155.5</v>
      </c>
      <c r="X296">
        <v>165.3</v>
      </c>
      <c r="Y296">
        <v>151.69999999999999</v>
      </c>
      <c r="Z296">
        <v>158.6</v>
      </c>
      <c r="AA296">
        <v>164.1</v>
      </c>
      <c r="AB296">
        <v>154.6</v>
      </c>
      <c r="AC296">
        <v>158</v>
      </c>
      <c r="AD296">
        <v>157.6</v>
      </c>
    </row>
    <row r="297" spans="1:30" x14ac:dyDescent="0.35">
      <c r="A297" t="s">
        <v>14</v>
      </c>
      <c r="B297">
        <v>2021</v>
      </c>
      <c r="C297" t="s">
        <v>18</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15</v>
      </c>
      <c r="B298">
        <v>2021</v>
      </c>
      <c r="C298" t="s">
        <v>18</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11</v>
      </c>
      <c r="B299">
        <v>2021</v>
      </c>
      <c r="C299" t="s">
        <v>19</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13</v>
      </c>
      <c r="V299">
        <v>161.69999999999999</v>
      </c>
      <c r="W299">
        <v>158.80000000000001</v>
      </c>
      <c r="X299">
        <v>169.1</v>
      </c>
      <c r="Y299">
        <v>153.19999999999999</v>
      </c>
      <c r="Z299">
        <v>160</v>
      </c>
      <c r="AA299">
        <v>167.6</v>
      </c>
      <c r="AB299">
        <v>159.30000000000001</v>
      </c>
      <c r="AC299">
        <v>161.1</v>
      </c>
      <c r="AD299">
        <v>161.1</v>
      </c>
    </row>
    <row r="300" spans="1:30" x14ac:dyDescent="0.35">
      <c r="A300" t="s">
        <v>14</v>
      </c>
      <c r="B300">
        <v>2021</v>
      </c>
      <c r="C300" t="s">
        <v>19</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15</v>
      </c>
      <c r="B301">
        <v>2021</v>
      </c>
      <c r="C301" t="s">
        <v>19</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11</v>
      </c>
      <c r="B302">
        <v>2021</v>
      </c>
      <c r="C302" t="s">
        <v>20</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13</v>
      </c>
      <c r="V302">
        <v>162.1</v>
      </c>
      <c r="W302">
        <v>159.19999999999999</v>
      </c>
      <c r="X302">
        <v>169.7</v>
      </c>
      <c r="Y302">
        <v>154.19999999999999</v>
      </c>
      <c r="Z302">
        <v>160.4</v>
      </c>
      <c r="AA302">
        <v>166.8</v>
      </c>
      <c r="AB302">
        <v>159.4</v>
      </c>
      <c r="AC302">
        <v>161.5</v>
      </c>
      <c r="AD302">
        <v>162.1</v>
      </c>
    </row>
    <row r="303" spans="1:30" x14ac:dyDescent="0.35">
      <c r="A303" t="s">
        <v>14</v>
      </c>
      <c r="B303">
        <v>2021</v>
      </c>
      <c r="C303" t="s">
        <v>20</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15</v>
      </c>
      <c r="B304">
        <v>2021</v>
      </c>
      <c r="C304" t="s">
        <v>20</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11</v>
      </c>
      <c r="B305">
        <v>2021</v>
      </c>
      <c r="C305" t="s">
        <v>21</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13</v>
      </c>
      <c r="V305">
        <v>162.5</v>
      </c>
      <c r="W305">
        <v>160.30000000000001</v>
      </c>
      <c r="X305">
        <v>170.4</v>
      </c>
      <c r="Y305">
        <v>157.1</v>
      </c>
      <c r="Z305">
        <v>160.69999999999999</v>
      </c>
      <c r="AA305">
        <v>167.2</v>
      </c>
      <c r="AB305">
        <v>160.4</v>
      </c>
      <c r="AC305">
        <v>162.80000000000001</v>
      </c>
      <c r="AD305">
        <v>163.19999999999999</v>
      </c>
    </row>
    <row r="306" spans="1:30" x14ac:dyDescent="0.35">
      <c r="A306" t="s">
        <v>14</v>
      </c>
      <c r="B306">
        <v>2021</v>
      </c>
      <c r="C306" t="s">
        <v>21</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15</v>
      </c>
      <c r="B307">
        <v>2021</v>
      </c>
      <c r="C307" t="s">
        <v>21</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11</v>
      </c>
      <c r="B308">
        <v>2021</v>
      </c>
      <c r="C308" t="s">
        <v>22</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13</v>
      </c>
      <c r="V308">
        <v>163.1</v>
      </c>
      <c r="W308">
        <v>160.9</v>
      </c>
      <c r="X308">
        <v>171.1</v>
      </c>
      <c r="Y308">
        <v>157.69999999999999</v>
      </c>
      <c r="Z308">
        <v>161.1</v>
      </c>
      <c r="AA308">
        <v>167.5</v>
      </c>
      <c r="AB308">
        <v>160.30000000000001</v>
      </c>
      <c r="AC308">
        <v>163.30000000000001</v>
      </c>
      <c r="AD308">
        <v>163.6</v>
      </c>
    </row>
    <row r="309" spans="1:30" x14ac:dyDescent="0.35">
      <c r="A309" t="s">
        <v>14</v>
      </c>
      <c r="B309">
        <v>2021</v>
      </c>
      <c r="C309" t="s">
        <v>22</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15</v>
      </c>
      <c r="B310">
        <v>2021</v>
      </c>
      <c r="C310" t="s">
        <v>22</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11</v>
      </c>
      <c r="B311">
        <v>2021</v>
      </c>
      <c r="C311" t="s">
        <v>23</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13</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14</v>
      </c>
      <c r="B312">
        <v>2021</v>
      </c>
      <c r="C312" t="s">
        <v>23</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15</v>
      </c>
      <c r="B313">
        <v>2021</v>
      </c>
      <c r="C313" t="s">
        <v>23</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11</v>
      </c>
      <c r="B314">
        <v>2021</v>
      </c>
      <c r="C314" t="s">
        <v>24</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13</v>
      </c>
      <c r="V314">
        <v>165.5</v>
      </c>
      <c r="W314">
        <v>162</v>
      </c>
      <c r="X314">
        <v>172.5</v>
      </c>
      <c r="Y314">
        <v>159.5</v>
      </c>
      <c r="Z314">
        <v>163.19999999999999</v>
      </c>
      <c r="AA314">
        <v>169</v>
      </c>
      <c r="AB314">
        <v>161.1</v>
      </c>
      <c r="AC314">
        <v>164.7</v>
      </c>
      <c r="AD314">
        <v>166.3</v>
      </c>
    </row>
    <row r="315" spans="1:30" x14ac:dyDescent="0.35">
      <c r="A315" t="s">
        <v>14</v>
      </c>
      <c r="B315">
        <v>2021</v>
      </c>
      <c r="C315" t="s">
        <v>24</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15</v>
      </c>
      <c r="B316">
        <v>2021</v>
      </c>
      <c r="C316" t="s">
        <v>24</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11</v>
      </c>
      <c r="B317">
        <v>2021</v>
      </c>
      <c r="C317" t="s">
        <v>26</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13</v>
      </c>
      <c r="V317">
        <v>165.3</v>
      </c>
      <c r="W317">
        <v>162.9</v>
      </c>
      <c r="X317">
        <v>173.4</v>
      </c>
      <c r="Y317">
        <v>158.9</v>
      </c>
      <c r="Z317">
        <v>163.80000000000001</v>
      </c>
      <c r="AA317">
        <v>169.3</v>
      </c>
      <c r="AB317">
        <v>162.4</v>
      </c>
      <c r="AC317">
        <v>165.2</v>
      </c>
      <c r="AD317">
        <v>167.6</v>
      </c>
    </row>
    <row r="318" spans="1:30" x14ac:dyDescent="0.35">
      <c r="A318" t="s">
        <v>14</v>
      </c>
      <c r="B318">
        <v>2021</v>
      </c>
      <c r="C318" t="s">
        <v>26</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15</v>
      </c>
      <c r="B319">
        <v>2021</v>
      </c>
      <c r="C319" t="s">
        <v>26</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11</v>
      </c>
      <c r="B320">
        <v>2021</v>
      </c>
      <c r="C320" t="s">
        <v>27</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13</v>
      </c>
      <c r="V320">
        <v>165.6</v>
      </c>
      <c r="W320">
        <v>163.9</v>
      </c>
      <c r="X320">
        <v>174</v>
      </c>
      <c r="Y320">
        <v>160.1</v>
      </c>
      <c r="Z320">
        <v>164.5</v>
      </c>
      <c r="AA320">
        <v>169.7</v>
      </c>
      <c r="AB320">
        <v>162.80000000000001</v>
      </c>
      <c r="AC320">
        <v>166</v>
      </c>
      <c r="AD320">
        <v>167</v>
      </c>
    </row>
    <row r="321" spans="1:30" x14ac:dyDescent="0.35">
      <c r="A321" t="s">
        <v>14</v>
      </c>
      <c r="B321">
        <v>2021</v>
      </c>
      <c r="C321" t="s">
        <v>27</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15</v>
      </c>
      <c r="B322">
        <v>2021</v>
      </c>
      <c r="C322" t="s">
        <v>27</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11</v>
      </c>
      <c r="B323">
        <v>2022</v>
      </c>
      <c r="C323" t="s">
        <v>12</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13</v>
      </c>
      <c r="V323">
        <v>165.8</v>
      </c>
      <c r="W323">
        <v>164.9</v>
      </c>
      <c r="X323">
        <v>174.7</v>
      </c>
      <c r="Y323">
        <v>160.80000000000001</v>
      </c>
      <c r="Z323">
        <v>164.9</v>
      </c>
      <c r="AA323">
        <v>169.9</v>
      </c>
      <c r="AB323">
        <v>163.19999999999999</v>
      </c>
      <c r="AC323">
        <v>166.6</v>
      </c>
      <c r="AD323">
        <v>166.4</v>
      </c>
    </row>
    <row r="324" spans="1:30" x14ac:dyDescent="0.35">
      <c r="A324" t="s">
        <v>14</v>
      </c>
      <c r="B324">
        <v>2022</v>
      </c>
      <c r="C324" t="s">
        <v>12</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15</v>
      </c>
      <c r="B325">
        <v>2022</v>
      </c>
      <c r="C325" t="s">
        <v>12</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11</v>
      </c>
      <c r="B326">
        <v>2022</v>
      </c>
      <c r="C326" t="s">
        <v>16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13</v>
      </c>
      <c r="V326">
        <v>167.4</v>
      </c>
      <c r="W326">
        <v>165.7</v>
      </c>
      <c r="X326">
        <v>175.3</v>
      </c>
      <c r="Y326">
        <v>161.19999999999999</v>
      </c>
      <c r="Z326">
        <v>165.5</v>
      </c>
      <c r="AA326">
        <v>170.3</v>
      </c>
      <c r="AB326">
        <v>164.5</v>
      </c>
      <c r="AC326">
        <v>167.3</v>
      </c>
      <c r="AD326">
        <v>166.7</v>
      </c>
    </row>
    <row r="327" spans="1:30" x14ac:dyDescent="0.35">
      <c r="A327" t="s">
        <v>14</v>
      </c>
      <c r="B327">
        <v>2022</v>
      </c>
      <c r="C327" t="s">
        <v>16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15</v>
      </c>
      <c r="B328">
        <v>2022</v>
      </c>
      <c r="C328" t="s">
        <v>16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11</v>
      </c>
      <c r="B329">
        <v>2022</v>
      </c>
      <c r="C329" t="s">
        <v>17</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13</v>
      </c>
      <c r="V329">
        <v>168.9</v>
      </c>
      <c r="W329">
        <v>166.5</v>
      </c>
      <c r="X329">
        <v>176</v>
      </c>
      <c r="Y329">
        <v>162</v>
      </c>
      <c r="Z329">
        <v>166.6</v>
      </c>
      <c r="AA329">
        <v>170.6</v>
      </c>
      <c r="AB329">
        <v>167.4</v>
      </c>
      <c r="AC329">
        <v>168.3</v>
      </c>
      <c r="AD329">
        <v>168.7</v>
      </c>
    </row>
    <row r="330" spans="1:30" x14ac:dyDescent="0.35">
      <c r="A330" t="s">
        <v>14</v>
      </c>
      <c r="B330">
        <v>2022</v>
      </c>
      <c r="C330" t="s">
        <v>17</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15</v>
      </c>
      <c r="B331">
        <v>2022</v>
      </c>
      <c r="C331" t="s">
        <v>17</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11</v>
      </c>
      <c r="B332">
        <v>2022</v>
      </c>
      <c r="C332" t="s">
        <v>18</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13</v>
      </c>
      <c r="V332">
        <v>173.3</v>
      </c>
      <c r="W332">
        <v>167.7</v>
      </c>
      <c r="X332">
        <v>177</v>
      </c>
      <c r="Y332">
        <v>166.2</v>
      </c>
      <c r="Z332">
        <v>167.2</v>
      </c>
      <c r="AA332">
        <v>170.9</v>
      </c>
      <c r="AB332">
        <v>169</v>
      </c>
      <c r="AC332">
        <v>170.2</v>
      </c>
      <c r="AD332">
        <v>170.8</v>
      </c>
    </row>
    <row r="333" spans="1:30" x14ac:dyDescent="0.35">
      <c r="A333" t="s">
        <v>14</v>
      </c>
      <c r="B333">
        <v>2022</v>
      </c>
      <c r="C333" t="s">
        <v>18</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15</v>
      </c>
      <c r="B334">
        <v>2022</v>
      </c>
      <c r="C334" t="s">
        <v>18</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11</v>
      </c>
      <c r="B335">
        <v>2022</v>
      </c>
      <c r="C335" t="s">
        <v>19</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13</v>
      </c>
      <c r="V335">
        <v>175.3</v>
      </c>
      <c r="W335">
        <v>168.9</v>
      </c>
      <c r="X335">
        <v>177.7</v>
      </c>
      <c r="Y335">
        <v>167.1</v>
      </c>
      <c r="Z335">
        <v>167.6</v>
      </c>
      <c r="AA335">
        <v>171.8</v>
      </c>
      <c r="AB335">
        <v>168.5</v>
      </c>
      <c r="AC335">
        <v>170.9</v>
      </c>
      <c r="AD335">
        <v>172.5</v>
      </c>
    </row>
    <row r="336" spans="1:30" x14ac:dyDescent="0.35">
      <c r="A336" t="s">
        <v>14</v>
      </c>
      <c r="B336">
        <v>2022</v>
      </c>
      <c r="C336" t="s">
        <v>19</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15</v>
      </c>
      <c r="B337">
        <v>2022</v>
      </c>
      <c r="C337" t="s">
        <v>19</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11</v>
      </c>
      <c r="B338">
        <v>2022</v>
      </c>
      <c r="C338" t="s">
        <v>20</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13</v>
      </c>
      <c r="V338">
        <v>176.7</v>
      </c>
      <c r="W338">
        <v>170.3</v>
      </c>
      <c r="X338">
        <v>178.2</v>
      </c>
      <c r="Y338">
        <v>165.5</v>
      </c>
      <c r="Z338">
        <v>168</v>
      </c>
      <c r="AA338">
        <v>172.6</v>
      </c>
      <c r="AB338">
        <v>169.5</v>
      </c>
      <c r="AC338">
        <v>171</v>
      </c>
      <c r="AD338">
        <v>173.6</v>
      </c>
    </row>
    <row r="339" spans="1:30" x14ac:dyDescent="0.35">
      <c r="A339" t="s">
        <v>14</v>
      </c>
      <c r="B339">
        <v>2022</v>
      </c>
      <c r="C339" t="s">
        <v>20</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15</v>
      </c>
      <c r="B340">
        <v>2022</v>
      </c>
      <c r="C340" t="s">
        <v>20</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11</v>
      </c>
      <c r="B341">
        <v>2022</v>
      </c>
      <c r="C341" t="s">
        <v>21</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13</v>
      </c>
      <c r="V341">
        <v>179.6</v>
      </c>
      <c r="W341">
        <v>171.3</v>
      </c>
      <c r="X341">
        <v>178.8</v>
      </c>
      <c r="Y341">
        <v>166.3</v>
      </c>
      <c r="Z341">
        <v>168.6</v>
      </c>
      <c r="AA341">
        <v>174.7</v>
      </c>
      <c r="AB341">
        <v>169.7</v>
      </c>
      <c r="AC341">
        <v>171.8</v>
      </c>
      <c r="AD341">
        <v>174.3</v>
      </c>
    </row>
    <row r="342" spans="1:30" x14ac:dyDescent="0.35">
      <c r="A342" t="s">
        <v>14</v>
      </c>
      <c r="B342">
        <v>2022</v>
      </c>
      <c r="C342" t="s">
        <v>21</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15</v>
      </c>
      <c r="B343">
        <v>2022</v>
      </c>
      <c r="C343" t="s">
        <v>21</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11</v>
      </c>
      <c r="B344">
        <v>2022</v>
      </c>
      <c r="C344" t="s">
        <v>22</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13</v>
      </c>
      <c r="V344">
        <v>179.1</v>
      </c>
      <c r="W344">
        <v>172.3</v>
      </c>
      <c r="X344">
        <v>179.4</v>
      </c>
      <c r="Y344">
        <v>166.6</v>
      </c>
      <c r="Z344">
        <v>169.3</v>
      </c>
      <c r="AA344">
        <v>175.7</v>
      </c>
      <c r="AB344">
        <v>171.1</v>
      </c>
      <c r="AC344">
        <v>172.6</v>
      </c>
      <c r="AD344">
        <v>175.3</v>
      </c>
    </row>
    <row r="345" spans="1:30" x14ac:dyDescent="0.35">
      <c r="A345" t="s">
        <v>14</v>
      </c>
      <c r="B345">
        <v>2022</v>
      </c>
      <c r="C345" t="s">
        <v>22</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15</v>
      </c>
      <c r="B346">
        <v>2022</v>
      </c>
      <c r="C346" t="s">
        <v>22</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11</v>
      </c>
      <c r="B347">
        <v>2022</v>
      </c>
      <c r="C347" t="s">
        <v>23</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13</v>
      </c>
      <c r="V347">
        <v>179.7</v>
      </c>
      <c r="W347">
        <v>173.6</v>
      </c>
      <c r="X347">
        <v>180.2</v>
      </c>
      <c r="Y347">
        <v>166.9</v>
      </c>
      <c r="Z347">
        <v>170</v>
      </c>
      <c r="AA347">
        <v>176.2</v>
      </c>
      <c r="AB347">
        <v>170.8</v>
      </c>
      <c r="AC347">
        <v>173.1</v>
      </c>
      <c r="AD347">
        <v>176.4</v>
      </c>
    </row>
    <row r="348" spans="1:30" x14ac:dyDescent="0.35">
      <c r="A348" t="s">
        <v>14</v>
      </c>
      <c r="B348">
        <v>2022</v>
      </c>
      <c r="C348" t="s">
        <v>23</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15</v>
      </c>
      <c r="B349">
        <v>2022</v>
      </c>
      <c r="C349" t="s">
        <v>23</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11</v>
      </c>
      <c r="B350">
        <v>2022</v>
      </c>
      <c r="C350" t="s">
        <v>24</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13</v>
      </c>
      <c r="V350">
        <v>180.8</v>
      </c>
      <c r="W350">
        <v>174.4</v>
      </c>
      <c r="X350">
        <v>181.2</v>
      </c>
      <c r="Y350">
        <v>167.4</v>
      </c>
      <c r="Z350">
        <v>170.6</v>
      </c>
      <c r="AA350">
        <v>176.5</v>
      </c>
      <c r="AB350">
        <v>172</v>
      </c>
      <c r="AC350">
        <v>173.9</v>
      </c>
      <c r="AD350">
        <v>177.9</v>
      </c>
    </row>
    <row r="351" spans="1:30" x14ac:dyDescent="0.35">
      <c r="A351" t="s">
        <v>14</v>
      </c>
      <c r="B351">
        <v>2022</v>
      </c>
      <c r="C351" t="s">
        <v>24</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15</v>
      </c>
      <c r="B352">
        <v>2022</v>
      </c>
      <c r="C352" t="s">
        <v>24</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11</v>
      </c>
      <c r="B353">
        <v>2022</v>
      </c>
      <c r="C353" t="s">
        <v>26</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13</v>
      </c>
      <c r="V353">
        <v>181.9</v>
      </c>
      <c r="W353">
        <v>175.5</v>
      </c>
      <c r="X353">
        <v>182.3</v>
      </c>
      <c r="Y353">
        <v>167.5</v>
      </c>
      <c r="Z353">
        <v>170.8</v>
      </c>
      <c r="AA353">
        <v>176.9</v>
      </c>
      <c r="AB353">
        <v>173.4</v>
      </c>
      <c r="AC353">
        <v>174.6</v>
      </c>
      <c r="AD353">
        <v>177.8</v>
      </c>
    </row>
    <row r="354" spans="1:30" x14ac:dyDescent="0.35">
      <c r="A354" t="s">
        <v>14</v>
      </c>
      <c r="B354">
        <v>2022</v>
      </c>
      <c r="C354" t="s">
        <v>26</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15</v>
      </c>
      <c r="B355">
        <v>2022</v>
      </c>
      <c r="C355" t="s">
        <v>26</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11</v>
      </c>
      <c r="B356">
        <v>2022</v>
      </c>
      <c r="C356" t="s">
        <v>27</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13</v>
      </c>
      <c r="V356">
        <v>182.8</v>
      </c>
      <c r="W356">
        <v>176.4</v>
      </c>
      <c r="X356">
        <v>183.5</v>
      </c>
      <c r="Y356">
        <v>167.8</v>
      </c>
      <c r="Z356">
        <v>171.2</v>
      </c>
      <c r="AA356">
        <v>177.3</v>
      </c>
      <c r="AB356">
        <v>175.7</v>
      </c>
      <c r="AC356">
        <v>175.5</v>
      </c>
      <c r="AD356">
        <v>177.1</v>
      </c>
    </row>
    <row r="357" spans="1:30" x14ac:dyDescent="0.35">
      <c r="A357" t="s">
        <v>14</v>
      </c>
      <c r="B357">
        <v>2022</v>
      </c>
      <c r="C357" t="s">
        <v>27</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15</v>
      </c>
      <c r="B358">
        <v>2022</v>
      </c>
      <c r="C358" t="s">
        <v>27</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11</v>
      </c>
      <c r="B359">
        <v>2023</v>
      </c>
      <c r="C359" t="s">
        <v>12</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13</v>
      </c>
      <c r="V359">
        <v>183.2</v>
      </c>
      <c r="W359">
        <v>177.2</v>
      </c>
      <c r="X359">
        <v>184.7</v>
      </c>
      <c r="Y359">
        <v>168.2</v>
      </c>
      <c r="Z359">
        <v>171.8</v>
      </c>
      <c r="AA359">
        <v>177.8</v>
      </c>
      <c r="AB359">
        <v>178.4</v>
      </c>
      <c r="AC359">
        <v>176.5</v>
      </c>
      <c r="AD359">
        <v>177.8</v>
      </c>
    </row>
    <row r="360" spans="1:30" x14ac:dyDescent="0.35">
      <c r="A360" t="s">
        <v>14</v>
      </c>
      <c r="B360">
        <v>2023</v>
      </c>
      <c r="C360" t="s">
        <v>12</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15</v>
      </c>
      <c r="B361">
        <v>2023</v>
      </c>
      <c r="C361" t="s">
        <v>12</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11</v>
      </c>
      <c r="B362">
        <v>2023</v>
      </c>
      <c r="C362" t="s">
        <v>16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13</v>
      </c>
      <c r="V362">
        <v>181.6</v>
      </c>
      <c r="W362">
        <v>178.6</v>
      </c>
      <c r="X362">
        <v>186.6</v>
      </c>
      <c r="Y362">
        <v>169</v>
      </c>
      <c r="Z362">
        <v>172.8</v>
      </c>
      <c r="AA362">
        <v>178.5</v>
      </c>
      <c r="AB362">
        <v>180.7</v>
      </c>
      <c r="AC362">
        <v>177.9</v>
      </c>
      <c r="AD362">
        <v>178</v>
      </c>
    </row>
    <row r="363" spans="1:30" x14ac:dyDescent="0.35">
      <c r="A363" t="s">
        <v>14</v>
      </c>
      <c r="B363">
        <v>2023</v>
      </c>
      <c r="C363" t="s">
        <v>16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15</v>
      </c>
      <c r="B364">
        <v>2023</v>
      </c>
      <c r="C364" t="s">
        <v>16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11</v>
      </c>
      <c r="B365">
        <v>2023</v>
      </c>
      <c r="C365" t="s">
        <v>17</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13</v>
      </c>
      <c r="V365">
        <v>181.4</v>
      </c>
      <c r="W365">
        <v>178.6</v>
      </c>
      <c r="X365">
        <v>186.6</v>
      </c>
      <c r="Y365">
        <v>169</v>
      </c>
      <c r="Z365">
        <v>172.8</v>
      </c>
      <c r="AA365">
        <v>178.5</v>
      </c>
      <c r="AB365">
        <v>180.7</v>
      </c>
      <c r="AC365">
        <v>177.9</v>
      </c>
      <c r="AD365">
        <v>178</v>
      </c>
    </row>
    <row r="366" spans="1:30" x14ac:dyDescent="0.35">
      <c r="A366" t="s">
        <v>14</v>
      </c>
      <c r="B366">
        <v>2023</v>
      </c>
      <c r="C366" t="s">
        <v>17</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15</v>
      </c>
      <c r="B367">
        <v>2023</v>
      </c>
      <c r="C367" t="s">
        <v>17</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11</v>
      </c>
      <c r="B368">
        <v>2023</v>
      </c>
      <c r="C368" t="s">
        <v>18</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29</v>
      </c>
      <c r="V368">
        <v>181.5</v>
      </c>
      <c r="W368">
        <v>179.1</v>
      </c>
      <c r="X368">
        <v>187.2</v>
      </c>
      <c r="Y368">
        <v>169.4</v>
      </c>
      <c r="Z368">
        <v>173.2</v>
      </c>
      <c r="AA368">
        <v>179.4</v>
      </c>
      <c r="AB368">
        <v>183.8</v>
      </c>
      <c r="AC368">
        <v>178.9</v>
      </c>
      <c r="AD368">
        <v>178.8</v>
      </c>
    </row>
    <row r="369" spans="1:30" x14ac:dyDescent="0.35">
      <c r="A369" t="s">
        <v>14</v>
      </c>
      <c r="B369">
        <v>2023</v>
      </c>
      <c r="C369" t="s">
        <v>18</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15</v>
      </c>
      <c r="B370">
        <v>2023</v>
      </c>
      <c r="C370" t="s">
        <v>18</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11</v>
      </c>
      <c r="B371">
        <v>2023</v>
      </c>
      <c r="C371" t="s">
        <v>19</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29</v>
      </c>
      <c r="V371">
        <v>182.5</v>
      </c>
      <c r="W371">
        <v>179.8</v>
      </c>
      <c r="X371">
        <v>187.8</v>
      </c>
      <c r="Y371">
        <v>169.7</v>
      </c>
      <c r="Z371">
        <v>173.8</v>
      </c>
      <c r="AA371">
        <v>180.3</v>
      </c>
      <c r="AB371">
        <v>184.9</v>
      </c>
      <c r="AC371">
        <v>179.5</v>
      </c>
      <c r="AD371">
        <v>179.8</v>
      </c>
    </row>
    <row r="372" spans="1:30" x14ac:dyDescent="0.35">
      <c r="A372" t="s">
        <v>14</v>
      </c>
      <c r="B372">
        <v>2023</v>
      </c>
      <c r="C372" t="s">
        <v>19</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15</v>
      </c>
      <c r="B373">
        <v>2023</v>
      </c>
      <c r="C373" t="s">
        <v>19</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458B3-A0F8-457F-B4B0-3174B37A7FD8}">
  <dimension ref="A1:K373"/>
  <sheetViews>
    <sheetView topLeftCell="B1" workbookViewId="0">
      <selection activeCell="K1" sqref="K1"/>
    </sheetView>
  </sheetViews>
  <sheetFormatPr defaultRowHeight="14.5" x14ac:dyDescent="0.35"/>
  <cols>
    <col min="1" max="1" width="11.36328125" bestFit="1" customWidth="1"/>
    <col min="2" max="2" width="6.54296875" customWidth="1"/>
    <col min="3" max="3" width="10" bestFit="1" customWidth="1"/>
    <col min="4" max="4" width="19.7265625" customWidth="1"/>
    <col min="5" max="5" width="26.90625" customWidth="1"/>
    <col min="6" max="6" width="22" customWidth="1"/>
    <col min="7" max="7" width="9.54296875" customWidth="1"/>
    <col min="8" max="8" width="14" customWidth="1"/>
    <col min="9" max="9" width="27.90625" customWidth="1"/>
    <col min="10" max="10" width="14.6328125" customWidth="1"/>
    <col min="11" max="11" width="14.3632812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v>2013</v>
      </c>
      <c r="C2" t="s">
        <v>12</v>
      </c>
      <c r="D2">
        <v>105.5153846</v>
      </c>
      <c r="E2">
        <v>105.1</v>
      </c>
      <c r="F2">
        <v>106.2333333</v>
      </c>
      <c r="G2" t="str">
        <f>""</f>
        <v/>
      </c>
      <c r="H2">
        <v>105.5</v>
      </c>
      <c r="I2">
        <v>104.8</v>
      </c>
      <c r="J2">
        <v>103.8666667</v>
      </c>
      <c r="K2">
        <v>105.1</v>
      </c>
    </row>
    <row r="3" spans="1:11" x14ac:dyDescent="0.35">
      <c r="A3" t="s">
        <v>14</v>
      </c>
      <c r="B3">
        <v>2013</v>
      </c>
      <c r="C3" t="s">
        <v>12</v>
      </c>
      <c r="D3">
        <v>105.8769231</v>
      </c>
      <c r="E3">
        <v>105.2</v>
      </c>
      <c r="F3">
        <v>105.5666667</v>
      </c>
      <c r="G3">
        <v>100.3</v>
      </c>
      <c r="H3">
        <v>105.4</v>
      </c>
      <c r="I3">
        <v>104.8</v>
      </c>
      <c r="J3">
        <v>103.6166667</v>
      </c>
      <c r="K3">
        <v>104</v>
      </c>
    </row>
    <row r="4" spans="1:11" x14ac:dyDescent="0.35">
      <c r="A4" t="s">
        <v>15</v>
      </c>
      <c r="B4">
        <v>2013</v>
      </c>
      <c r="C4" t="s">
        <v>12</v>
      </c>
      <c r="D4">
        <v>105.63846150000001</v>
      </c>
      <c r="E4">
        <v>105.1</v>
      </c>
      <c r="F4">
        <v>106</v>
      </c>
      <c r="G4">
        <v>100.3</v>
      </c>
      <c r="H4">
        <v>105.5</v>
      </c>
      <c r="I4">
        <v>104.8</v>
      </c>
      <c r="J4">
        <v>103.7166667</v>
      </c>
      <c r="K4">
        <v>104.6</v>
      </c>
    </row>
    <row r="5" spans="1:11" x14ac:dyDescent="0.35">
      <c r="A5" t="s">
        <v>11</v>
      </c>
      <c r="B5">
        <v>2013</v>
      </c>
      <c r="C5" t="s">
        <v>16</v>
      </c>
      <c r="D5">
        <v>106.1846154</v>
      </c>
      <c r="E5">
        <v>105.6</v>
      </c>
      <c r="F5">
        <v>106.8</v>
      </c>
      <c r="G5" t="str">
        <f>""</f>
        <v/>
      </c>
      <c r="H5">
        <v>106.2</v>
      </c>
      <c r="I5">
        <v>105.2</v>
      </c>
      <c r="J5">
        <v>104.2333333</v>
      </c>
      <c r="K5">
        <v>105.8</v>
      </c>
    </row>
    <row r="6" spans="1:11" x14ac:dyDescent="0.35">
      <c r="A6" t="s">
        <v>14</v>
      </c>
      <c r="B6">
        <v>2013</v>
      </c>
      <c r="C6" t="s">
        <v>16</v>
      </c>
      <c r="D6">
        <v>106.96923080000001</v>
      </c>
      <c r="E6">
        <v>106</v>
      </c>
      <c r="F6">
        <v>106.16666669999999</v>
      </c>
      <c r="G6">
        <v>100.4</v>
      </c>
      <c r="H6">
        <v>105.7</v>
      </c>
      <c r="I6">
        <v>105.2</v>
      </c>
      <c r="J6">
        <v>104.1166667</v>
      </c>
      <c r="K6">
        <v>104.7</v>
      </c>
    </row>
    <row r="7" spans="1:11" x14ac:dyDescent="0.35">
      <c r="A7" t="s">
        <v>15</v>
      </c>
      <c r="B7">
        <v>2013</v>
      </c>
      <c r="C7" t="s">
        <v>16</v>
      </c>
      <c r="D7">
        <v>106.47692309999999</v>
      </c>
      <c r="E7">
        <v>105.7</v>
      </c>
      <c r="F7">
        <v>106.5666667</v>
      </c>
      <c r="G7">
        <v>100.4</v>
      </c>
      <c r="H7">
        <v>106</v>
      </c>
      <c r="I7">
        <v>105.2</v>
      </c>
      <c r="J7">
        <v>104.1833333</v>
      </c>
      <c r="K7">
        <v>105.3</v>
      </c>
    </row>
    <row r="8" spans="1:11" x14ac:dyDescent="0.35">
      <c r="A8" t="s">
        <v>11</v>
      </c>
      <c r="B8">
        <v>2013</v>
      </c>
      <c r="C8" t="s">
        <v>17</v>
      </c>
      <c r="D8">
        <v>106.3230769</v>
      </c>
      <c r="E8">
        <v>106.5</v>
      </c>
      <c r="F8">
        <v>107.3</v>
      </c>
      <c r="G8" t="str">
        <f>""</f>
        <v/>
      </c>
      <c r="H8">
        <v>106.1</v>
      </c>
      <c r="I8">
        <v>105.6</v>
      </c>
      <c r="J8">
        <v>104.41666669999999</v>
      </c>
      <c r="K8">
        <v>106</v>
      </c>
    </row>
    <row r="9" spans="1:11" x14ac:dyDescent="0.35">
      <c r="A9" t="s">
        <v>14</v>
      </c>
      <c r="B9">
        <v>2013</v>
      </c>
      <c r="C9" t="s">
        <v>17</v>
      </c>
      <c r="D9">
        <v>106.6769231</v>
      </c>
      <c r="E9">
        <v>106.8</v>
      </c>
      <c r="F9">
        <v>106.7333333</v>
      </c>
      <c r="G9">
        <v>100.4</v>
      </c>
      <c r="H9">
        <v>106</v>
      </c>
      <c r="I9">
        <v>105.7</v>
      </c>
      <c r="J9">
        <v>104.5166667</v>
      </c>
      <c r="K9">
        <v>105</v>
      </c>
    </row>
    <row r="10" spans="1:11" x14ac:dyDescent="0.35">
      <c r="A10" t="s">
        <v>15</v>
      </c>
      <c r="B10">
        <v>2013</v>
      </c>
      <c r="C10" t="s">
        <v>17</v>
      </c>
      <c r="D10">
        <v>106.4615385</v>
      </c>
      <c r="E10">
        <v>106.6</v>
      </c>
      <c r="F10">
        <v>107.0666667</v>
      </c>
      <c r="G10">
        <v>100.4</v>
      </c>
      <c r="H10">
        <v>106.1</v>
      </c>
      <c r="I10">
        <v>105.6</v>
      </c>
      <c r="J10">
        <v>104.45</v>
      </c>
      <c r="K10">
        <v>105.5</v>
      </c>
    </row>
    <row r="11" spans="1:11" x14ac:dyDescent="0.35">
      <c r="A11" t="s">
        <v>11</v>
      </c>
      <c r="B11">
        <v>2013</v>
      </c>
      <c r="C11" t="s">
        <v>18</v>
      </c>
      <c r="D11">
        <v>106.6</v>
      </c>
      <c r="E11">
        <v>107.1</v>
      </c>
      <c r="F11">
        <v>107.83333330000001</v>
      </c>
      <c r="G11" t="str">
        <f>""</f>
        <v/>
      </c>
      <c r="H11">
        <v>106.5</v>
      </c>
      <c r="I11">
        <v>106.1</v>
      </c>
      <c r="J11">
        <v>104.35</v>
      </c>
      <c r="K11">
        <v>106.4</v>
      </c>
    </row>
    <row r="12" spans="1:11" x14ac:dyDescent="0.35">
      <c r="A12" t="s">
        <v>14</v>
      </c>
      <c r="B12">
        <v>2013</v>
      </c>
      <c r="C12" t="s">
        <v>18</v>
      </c>
      <c r="D12">
        <v>107.5153846</v>
      </c>
      <c r="E12">
        <v>108.5</v>
      </c>
      <c r="F12">
        <v>107.33333330000001</v>
      </c>
      <c r="G12">
        <v>100.5</v>
      </c>
      <c r="H12">
        <v>106.4</v>
      </c>
      <c r="I12">
        <v>106.5</v>
      </c>
      <c r="J12">
        <v>104.7</v>
      </c>
      <c r="K12">
        <v>105.7</v>
      </c>
    </row>
    <row r="13" spans="1:11" x14ac:dyDescent="0.35">
      <c r="A13" t="s">
        <v>15</v>
      </c>
      <c r="B13">
        <v>2013</v>
      </c>
      <c r="C13" t="s">
        <v>18</v>
      </c>
      <c r="D13">
        <v>106.9384615</v>
      </c>
      <c r="E13">
        <v>107.5</v>
      </c>
      <c r="F13">
        <v>107.6333333</v>
      </c>
      <c r="G13">
        <v>100.5</v>
      </c>
      <c r="H13">
        <v>106.5</v>
      </c>
      <c r="I13">
        <v>106.3</v>
      </c>
      <c r="J13">
        <v>104.4833333</v>
      </c>
      <c r="K13">
        <v>106.1</v>
      </c>
    </row>
    <row r="14" spans="1:11" x14ac:dyDescent="0.35">
      <c r="A14" t="s">
        <v>11</v>
      </c>
      <c r="B14">
        <v>2013</v>
      </c>
      <c r="C14" t="s">
        <v>19</v>
      </c>
      <c r="D14">
        <v>107.2307692</v>
      </c>
      <c r="E14">
        <v>108.1</v>
      </c>
      <c r="F14">
        <v>108.4333333</v>
      </c>
      <c r="G14" t="str">
        <f>""</f>
        <v/>
      </c>
      <c r="H14">
        <v>107.5</v>
      </c>
      <c r="I14">
        <v>106.8</v>
      </c>
      <c r="J14">
        <v>104.5333333</v>
      </c>
      <c r="K14">
        <v>107.2</v>
      </c>
    </row>
    <row r="15" spans="1:11" x14ac:dyDescent="0.35">
      <c r="A15" t="s">
        <v>14</v>
      </c>
      <c r="B15">
        <v>2013</v>
      </c>
      <c r="C15" t="s">
        <v>19</v>
      </c>
      <c r="D15">
        <v>109.0153846</v>
      </c>
      <c r="E15">
        <v>109.8</v>
      </c>
      <c r="F15">
        <v>107.83333330000001</v>
      </c>
      <c r="G15">
        <v>100.5</v>
      </c>
      <c r="H15">
        <v>107.2</v>
      </c>
      <c r="I15">
        <v>107.1</v>
      </c>
      <c r="J15">
        <v>104.65</v>
      </c>
      <c r="K15">
        <v>106.6</v>
      </c>
    </row>
    <row r="16" spans="1:11" x14ac:dyDescent="0.35">
      <c r="A16" t="s">
        <v>15</v>
      </c>
      <c r="B16">
        <v>2013</v>
      </c>
      <c r="C16" t="s">
        <v>19</v>
      </c>
      <c r="D16">
        <v>107.86153849999999</v>
      </c>
      <c r="E16">
        <v>108.6</v>
      </c>
      <c r="F16">
        <v>108.2</v>
      </c>
      <c r="G16">
        <v>100.5</v>
      </c>
      <c r="H16">
        <v>107.4</v>
      </c>
      <c r="I16">
        <v>106.9</v>
      </c>
      <c r="J16">
        <v>104.5666667</v>
      </c>
      <c r="K16">
        <v>106.9</v>
      </c>
    </row>
    <row r="17" spans="1:11" x14ac:dyDescent="0.35">
      <c r="A17" t="s">
        <v>11</v>
      </c>
      <c r="B17">
        <v>2013</v>
      </c>
      <c r="C17" t="s">
        <v>20</v>
      </c>
      <c r="D17">
        <v>109.2307692</v>
      </c>
      <c r="E17">
        <v>109</v>
      </c>
      <c r="F17">
        <v>109.33333330000001</v>
      </c>
      <c r="G17" t="str">
        <f>""</f>
        <v/>
      </c>
      <c r="H17">
        <v>108.5</v>
      </c>
      <c r="I17">
        <v>107.5</v>
      </c>
      <c r="J17">
        <v>105.2333333</v>
      </c>
      <c r="K17">
        <v>108.9</v>
      </c>
    </row>
    <row r="18" spans="1:11" x14ac:dyDescent="0.35">
      <c r="A18" t="s">
        <v>14</v>
      </c>
      <c r="B18">
        <v>2013</v>
      </c>
      <c r="C18" t="s">
        <v>20</v>
      </c>
      <c r="D18">
        <v>112.66153850000001</v>
      </c>
      <c r="E18">
        <v>110.9</v>
      </c>
      <c r="F18">
        <v>108.4333333</v>
      </c>
      <c r="G18">
        <v>106.6</v>
      </c>
      <c r="H18">
        <v>108</v>
      </c>
      <c r="I18">
        <v>107.7</v>
      </c>
      <c r="J18">
        <v>105.7333333</v>
      </c>
      <c r="K18">
        <v>109.7</v>
      </c>
    </row>
    <row r="19" spans="1:11" x14ac:dyDescent="0.35">
      <c r="A19" t="s">
        <v>15</v>
      </c>
      <c r="B19">
        <v>2013</v>
      </c>
      <c r="C19" t="s">
        <v>20</v>
      </c>
      <c r="D19">
        <v>110.4615385</v>
      </c>
      <c r="E19">
        <v>109.5</v>
      </c>
      <c r="F19">
        <v>108.9666667</v>
      </c>
      <c r="G19">
        <v>106.6</v>
      </c>
      <c r="H19">
        <v>108.3</v>
      </c>
      <c r="I19">
        <v>107.6</v>
      </c>
      <c r="J19">
        <v>105.4833333</v>
      </c>
      <c r="K19">
        <v>109.3</v>
      </c>
    </row>
    <row r="20" spans="1:11" x14ac:dyDescent="0.35">
      <c r="A20" t="s">
        <v>11</v>
      </c>
      <c r="B20">
        <v>2013</v>
      </c>
      <c r="C20" t="s">
        <v>21</v>
      </c>
      <c r="D20">
        <v>111.2230769</v>
      </c>
      <c r="E20">
        <v>109.8</v>
      </c>
      <c r="F20">
        <v>110.1</v>
      </c>
      <c r="G20" t="str">
        <f>""</f>
        <v/>
      </c>
      <c r="H20">
        <v>109.5</v>
      </c>
      <c r="I20">
        <v>108.3</v>
      </c>
      <c r="J20">
        <v>106.15</v>
      </c>
      <c r="K20">
        <v>110.7</v>
      </c>
    </row>
    <row r="21" spans="1:11" x14ac:dyDescent="0.35">
      <c r="A21" t="s">
        <v>14</v>
      </c>
      <c r="B21">
        <v>2013</v>
      </c>
      <c r="C21" t="s">
        <v>21</v>
      </c>
      <c r="D21">
        <v>114.5692308</v>
      </c>
      <c r="E21">
        <v>111.7</v>
      </c>
      <c r="F21">
        <v>109.0333333</v>
      </c>
      <c r="G21">
        <v>107.7</v>
      </c>
      <c r="H21">
        <v>108.6</v>
      </c>
      <c r="I21">
        <v>108.1</v>
      </c>
      <c r="J21">
        <v>106.8166667</v>
      </c>
      <c r="K21">
        <v>111.4</v>
      </c>
    </row>
    <row r="22" spans="1:11" x14ac:dyDescent="0.35">
      <c r="A22" t="s">
        <v>15</v>
      </c>
      <c r="B22">
        <v>2013</v>
      </c>
      <c r="C22" t="s">
        <v>21</v>
      </c>
      <c r="D22">
        <v>112.4153846</v>
      </c>
      <c r="E22">
        <v>110.3</v>
      </c>
      <c r="F22">
        <v>109.66666669999999</v>
      </c>
      <c r="G22">
        <v>107.7</v>
      </c>
      <c r="H22">
        <v>109.2</v>
      </c>
      <c r="I22">
        <v>108.2</v>
      </c>
      <c r="J22">
        <v>106.5</v>
      </c>
      <c r="K22">
        <v>111</v>
      </c>
    </row>
    <row r="23" spans="1:11" x14ac:dyDescent="0.35">
      <c r="A23" t="s">
        <v>11</v>
      </c>
      <c r="B23">
        <v>2013</v>
      </c>
      <c r="C23" t="s">
        <v>22</v>
      </c>
      <c r="D23">
        <v>112.5</v>
      </c>
      <c r="E23">
        <v>110.7</v>
      </c>
      <c r="F23">
        <v>110.8666667</v>
      </c>
      <c r="G23" t="str">
        <f>""</f>
        <v/>
      </c>
      <c r="H23">
        <v>109.9</v>
      </c>
      <c r="I23">
        <v>108.7</v>
      </c>
      <c r="J23">
        <v>107.2166667</v>
      </c>
      <c r="K23">
        <v>112.1</v>
      </c>
    </row>
    <row r="24" spans="1:11" x14ac:dyDescent="0.35">
      <c r="A24" t="s">
        <v>14</v>
      </c>
      <c r="B24">
        <v>2013</v>
      </c>
      <c r="C24" t="s">
        <v>22</v>
      </c>
      <c r="D24">
        <v>115.85384620000001</v>
      </c>
      <c r="E24">
        <v>112.4</v>
      </c>
      <c r="F24">
        <v>109.7</v>
      </c>
      <c r="G24">
        <v>108.9</v>
      </c>
      <c r="H24">
        <v>109.3</v>
      </c>
      <c r="I24">
        <v>108.7</v>
      </c>
      <c r="J24">
        <v>107.8833333</v>
      </c>
      <c r="K24">
        <v>112.7</v>
      </c>
    </row>
    <row r="25" spans="1:11" x14ac:dyDescent="0.35">
      <c r="A25" t="s">
        <v>15</v>
      </c>
      <c r="B25">
        <v>2013</v>
      </c>
      <c r="C25" t="s">
        <v>22</v>
      </c>
      <c r="D25">
        <v>113.64615379999999</v>
      </c>
      <c r="E25">
        <v>111.2</v>
      </c>
      <c r="F25">
        <v>110.3666667</v>
      </c>
      <c r="G25">
        <v>108.9</v>
      </c>
      <c r="H25">
        <v>109.7</v>
      </c>
      <c r="I25">
        <v>108.7</v>
      </c>
      <c r="J25">
        <v>107.55</v>
      </c>
      <c r="K25">
        <v>112.4</v>
      </c>
    </row>
    <row r="26" spans="1:11" x14ac:dyDescent="0.35">
      <c r="A26" t="s">
        <v>11</v>
      </c>
      <c r="B26">
        <v>2013</v>
      </c>
      <c r="C26" t="s">
        <v>23</v>
      </c>
      <c r="D26">
        <v>114.5</v>
      </c>
      <c r="E26">
        <v>111.7</v>
      </c>
      <c r="F26">
        <v>112.2</v>
      </c>
      <c r="G26" t="str">
        <f>""</f>
        <v/>
      </c>
      <c r="H26">
        <v>111.1</v>
      </c>
      <c r="I26">
        <v>109.6</v>
      </c>
      <c r="J26">
        <v>108.41666669999999</v>
      </c>
      <c r="K26">
        <v>114.2</v>
      </c>
    </row>
    <row r="27" spans="1:11" x14ac:dyDescent="0.35">
      <c r="A27" t="s">
        <v>14</v>
      </c>
      <c r="B27">
        <v>2013</v>
      </c>
      <c r="C27" t="s">
        <v>23</v>
      </c>
      <c r="D27">
        <v>115.4153846</v>
      </c>
      <c r="E27">
        <v>112.9</v>
      </c>
      <c r="F27">
        <v>110.5</v>
      </c>
      <c r="G27">
        <v>109.7</v>
      </c>
      <c r="H27">
        <v>109.5</v>
      </c>
      <c r="I27">
        <v>109.6</v>
      </c>
      <c r="J27">
        <v>108.8666667</v>
      </c>
      <c r="K27">
        <v>113.2</v>
      </c>
    </row>
    <row r="28" spans="1:11" x14ac:dyDescent="0.35">
      <c r="A28" t="s">
        <v>15</v>
      </c>
      <c r="B28">
        <v>2013</v>
      </c>
      <c r="C28" t="s">
        <v>23</v>
      </c>
      <c r="D28">
        <v>114.7461538</v>
      </c>
      <c r="E28">
        <v>112</v>
      </c>
      <c r="F28">
        <v>111.5</v>
      </c>
      <c r="G28">
        <v>109.7</v>
      </c>
      <c r="H28">
        <v>110.5</v>
      </c>
      <c r="I28">
        <v>109.6</v>
      </c>
      <c r="J28">
        <v>108.65</v>
      </c>
      <c r="K28">
        <v>113.7</v>
      </c>
    </row>
    <row r="29" spans="1:11" x14ac:dyDescent="0.35">
      <c r="A29" t="s">
        <v>11</v>
      </c>
      <c r="B29">
        <v>2013</v>
      </c>
      <c r="C29" t="s">
        <v>24</v>
      </c>
      <c r="D29">
        <v>116</v>
      </c>
      <c r="E29">
        <v>112.2</v>
      </c>
      <c r="F29">
        <v>113.1</v>
      </c>
      <c r="G29" t="str">
        <f>""</f>
        <v/>
      </c>
      <c r="H29">
        <v>111.6</v>
      </c>
      <c r="I29">
        <v>110.4</v>
      </c>
      <c r="J29">
        <v>108.8833333</v>
      </c>
      <c r="K29">
        <v>115.5</v>
      </c>
    </row>
    <row r="30" spans="1:11" x14ac:dyDescent="0.35">
      <c r="A30" t="s">
        <v>14</v>
      </c>
      <c r="B30">
        <v>2013</v>
      </c>
      <c r="C30" t="s">
        <v>24</v>
      </c>
      <c r="D30">
        <v>116.70769230000001</v>
      </c>
      <c r="E30">
        <v>113.5</v>
      </c>
      <c r="F30">
        <v>111.4</v>
      </c>
      <c r="G30">
        <v>110.5</v>
      </c>
      <c r="H30">
        <v>109.7</v>
      </c>
      <c r="I30">
        <v>110.2</v>
      </c>
      <c r="J30">
        <v>108.9833333</v>
      </c>
      <c r="K30">
        <v>114</v>
      </c>
    </row>
    <row r="31" spans="1:11" x14ac:dyDescent="0.35">
      <c r="A31" t="s">
        <v>15</v>
      </c>
      <c r="B31">
        <v>2013</v>
      </c>
      <c r="C31" t="s">
        <v>24</v>
      </c>
      <c r="D31">
        <v>116.16923079999999</v>
      </c>
      <c r="E31">
        <v>112.5</v>
      </c>
      <c r="F31">
        <v>112.4</v>
      </c>
      <c r="G31">
        <v>110.5</v>
      </c>
      <c r="H31">
        <v>110.9</v>
      </c>
      <c r="I31">
        <v>110.3</v>
      </c>
      <c r="J31">
        <v>108.9333333</v>
      </c>
      <c r="K31">
        <v>114.8</v>
      </c>
    </row>
    <row r="32" spans="1:11" x14ac:dyDescent="0.35">
      <c r="A32" t="s">
        <v>11</v>
      </c>
      <c r="B32">
        <v>2013</v>
      </c>
      <c r="C32" t="s">
        <v>25</v>
      </c>
      <c r="D32">
        <v>118.21538459999999</v>
      </c>
      <c r="E32">
        <v>112.8</v>
      </c>
      <c r="F32">
        <v>114.0333333</v>
      </c>
      <c r="G32" t="str">
        <f>""</f>
        <v/>
      </c>
      <c r="H32">
        <v>112.6</v>
      </c>
      <c r="I32">
        <v>111.3</v>
      </c>
      <c r="J32">
        <v>109.5</v>
      </c>
      <c r="K32">
        <v>117.4</v>
      </c>
    </row>
    <row r="33" spans="1:11" x14ac:dyDescent="0.35">
      <c r="A33" t="s">
        <v>14</v>
      </c>
      <c r="B33">
        <v>2013</v>
      </c>
      <c r="C33" t="s">
        <v>26</v>
      </c>
      <c r="D33">
        <v>118.8153846</v>
      </c>
      <c r="E33">
        <v>114.1</v>
      </c>
      <c r="F33">
        <v>112.2666667</v>
      </c>
      <c r="G33">
        <v>111.1</v>
      </c>
      <c r="H33">
        <v>110</v>
      </c>
      <c r="I33">
        <v>110.9</v>
      </c>
      <c r="J33">
        <v>109.2333333</v>
      </c>
      <c r="K33">
        <v>115</v>
      </c>
    </row>
    <row r="34" spans="1:11" x14ac:dyDescent="0.35">
      <c r="A34" t="s">
        <v>15</v>
      </c>
      <c r="B34">
        <v>2013</v>
      </c>
      <c r="C34" t="s">
        <v>26</v>
      </c>
      <c r="D34">
        <v>118.3692308</v>
      </c>
      <c r="E34">
        <v>113.1</v>
      </c>
      <c r="F34">
        <v>113.3</v>
      </c>
      <c r="G34">
        <v>111.1</v>
      </c>
      <c r="H34">
        <v>111.6</v>
      </c>
      <c r="I34">
        <v>111.1</v>
      </c>
      <c r="J34">
        <v>109.4</v>
      </c>
      <c r="K34">
        <v>116.3</v>
      </c>
    </row>
    <row r="35" spans="1:11" x14ac:dyDescent="0.35">
      <c r="A35" t="s">
        <v>11</v>
      </c>
      <c r="B35">
        <v>2013</v>
      </c>
      <c r="C35" t="s">
        <v>27</v>
      </c>
      <c r="D35">
        <v>116.0769231</v>
      </c>
      <c r="E35">
        <v>113.6</v>
      </c>
      <c r="F35">
        <v>115.1</v>
      </c>
      <c r="G35" t="str">
        <f>""</f>
        <v/>
      </c>
      <c r="H35">
        <v>112.8</v>
      </c>
      <c r="I35">
        <v>112.1</v>
      </c>
      <c r="J35">
        <v>109.83333330000001</v>
      </c>
      <c r="K35">
        <v>115.5</v>
      </c>
    </row>
    <row r="36" spans="1:11" x14ac:dyDescent="0.35">
      <c r="A36" t="s">
        <v>14</v>
      </c>
      <c r="B36">
        <v>2013</v>
      </c>
      <c r="C36" t="s">
        <v>27</v>
      </c>
      <c r="D36">
        <v>115.7230769</v>
      </c>
      <c r="E36">
        <v>115</v>
      </c>
      <c r="F36">
        <v>112.9333333</v>
      </c>
      <c r="G36">
        <v>110.7</v>
      </c>
      <c r="H36">
        <v>110.4</v>
      </c>
      <c r="I36">
        <v>111.3</v>
      </c>
      <c r="J36">
        <v>109.41666669999999</v>
      </c>
      <c r="K36">
        <v>113.3</v>
      </c>
    </row>
    <row r="37" spans="1:11" x14ac:dyDescent="0.35">
      <c r="A37" t="s">
        <v>15</v>
      </c>
      <c r="B37">
        <v>2013</v>
      </c>
      <c r="C37" t="s">
        <v>27</v>
      </c>
      <c r="D37">
        <v>115.9461538</v>
      </c>
      <c r="E37">
        <v>114</v>
      </c>
      <c r="F37">
        <v>114.2333333</v>
      </c>
      <c r="G37">
        <v>110.7</v>
      </c>
      <c r="H37">
        <v>111.9</v>
      </c>
      <c r="I37">
        <v>111.7</v>
      </c>
      <c r="J37">
        <v>109.65</v>
      </c>
      <c r="K37">
        <v>114.5</v>
      </c>
    </row>
    <row r="38" spans="1:11" x14ac:dyDescent="0.35">
      <c r="A38" t="s">
        <v>11</v>
      </c>
      <c r="B38">
        <v>2014</v>
      </c>
      <c r="C38" t="s">
        <v>12</v>
      </c>
      <c r="D38">
        <v>114.35384620000001</v>
      </c>
      <c r="E38">
        <v>114</v>
      </c>
      <c r="F38">
        <v>115.7333333</v>
      </c>
      <c r="G38" t="str">
        <f>""</f>
        <v/>
      </c>
      <c r="H38">
        <v>113</v>
      </c>
      <c r="I38">
        <v>112.6</v>
      </c>
      <c r="J38">
        <v>110.2333333</v>
      </c>
      <c r="K38">
        <v>114.2</v>
      </c>
    </row>
    <row r="39" spans="1:11" x14ac:dyDescent="0.35">
      <c r="A39" t="s">
        <v>14</v>
      </c>
      <c r="B39">
        <v>2014</v>
      </c>
      <c r="C39" t="s">
        <v>12</v>
      </c>
      <c r="D39">
        <v>114.1769231</v>
      </c>
      <c r="E39">
        <v>115.7</v>
      </c>
      <c r="F39">
        <v>113.4666667</v>
      </c>
      <c r="G39">
        <v>111.6</v>
      </c>
      <c r="H39">
        <v>111</v>
      </c>
      <c r="I39">
        <v>111.9</v>
      </c>
      <c r="J39">
        <v>110.05</v>
      </c>
      <c r="K39">
        <v>112.9</v>
      </c>
    </row>
    <row r="40" spans="1:11" x14ac:dyDescent="0.35">
      <c r="A40" t="s">
        <v>15</v>
      </c>
      <c r="B40">
        <v>2014</v>
      </c>
      <c r="C40" t="s">
        <v>12</v>
      </c>
      <c r="D40">
        <v>114.29230769999999</v>
      </c>
      <c r="E40">
        <v>114.5</v>
      </c>
      <c r="F40">
        <v>114.8</v>
      </c>
      <c r="G40">
        <v>111.6</v>
      </c>
      <c r="H40">
        <v>112.2</v>
      </c>
      <c r="I40">
        <v>112.3</v>
      </c>
      <c r="J40">
        <v>110.1833333</v>
      </c>
      <c r="K40">
        <v>113.6</v>
      </c>
    </row>
    <row r="41" spans="1:11" x14ac:dyDescent="0.35">
      <c r="A41" t="s">
        <v>11</v>
      </c>
      <c r="B41">
        <v>2014</v>
      </c>
      <c r="C41" t="s">
        <v>16</v>
      </c>
      <c r="D41">
        <v>114.0153846</v>
      </c>
      <c r="E41">
        <v>114.2</v>
      </c>
      <c r="F41">
        <v>116.1</v>
      </c>
      <c r="G41" t="str">
        <f>""</f>
        <v/>
      </c>
      <c r="H41">
        <v>113.2</v>
      </c>
      <c r="I41">
        <v>112.9</v>
      </c>
      <c r="J41">
        <v>110.5333333</v>
      </c>
      <c r="K41">
        <v>114</v>
      </c>
    </row>
    <row r="42" spans="1:11" x14ac:dyDescent="0.35">
      <c r="A42" t="s">
        <v>14</v>
      </c>
      <c r="B42">
        <v>2014</v>
      </c>
      <c r="C42" t="s">
        <v>16</v>
      </c>
      <c r="D42">
        <v>113.5384615</v>
      </c>
      <c r="E42">
        <v>116.2</v>
      </c>
      <c r="F42">
        <v>113.9</v>
      </c>
      <c r="G42">
        <v>112.5</v>
      </c>
      <c r="H42">
        <v>111.1</v>
      </c>
      <c r="I42">
        <v>112.6</v>
      </c>
      <c r="J42">
        <v>110.55</v>
      </c>
      <c r="K42">
        <v>113.1</v>
      </c>
    </row>
    <row r="43" spans="1:11" x14ac:dyDescent="0.35">
      <c r="A43" t="s">
        <v>15</v>
      </c>
      <c r="B43">
        <v>2014</v>
      </c>
      <c r="C43" t="s">
        <v>16</v>
      </c>
      <c r="D43">
        <v>113.85384620000001</v>
      </c>
      <c r="E43">
        <v>114.7</v>
      </c>
      <c r="F43">
        <v>115.2</v>
      </c>
      <c r="G43">
        <v>112.5</v>
      </c>
      <c r="H43">
        <v>112.4</v>
      </c>
      <c r="I43">
        <v>112.8</v>
      </c>
      <c r="J43">
        <v>110.55</v>
      </c>
      <c r="K43">
        <v>113.6</v>
      </c>
    </row>
    <row r="44" spans="1:11" x14ac:dyDescent="0.35">
      <c r="A44" t="s">
        <v>11</v>
      </c>
      <c r="B44">
        <v>2014</v>
      </c>
      <c r="C44" t="s">
        <v>17</v>
      </c>
      <c r="D44">
        <v>114.7230769</v>
      </c>
      <c r="E44">
        <v>114.6</v>
      </c>
      <c r="F44">
        <v>116.5333333</v>
      </c>
      <c r="G44" t="str">
        <f>""</f>
        <v/>
      </c>
      <c r="H44">
        <v>113.4</v>
      </c>
      <c r="I44">
        <v>113.4</v>
      </c>
      <c r="J44">
        <v>110.9</v>
      </c>
      <c r="K44">
        <v>114.6</v>
      </c>
    </row>
    <row r="45" spans="1:11" x14ac:dyDescent="0.35">
      <c r="A45" t="s">
        <v>14</v>
      </c>
      <c r="B45">
        <v>2014</v>
      </c>
      <c r="C45" t="s">
        <v>17</v>
      </c>
      <c r="D45">
        <v>114.0769231</v>
      </c>
      <c r="E45">
        <v>116.7</v>
      </c>
      <c r="F45">
        <v>114.3666667</v>
      </c>
      <c r="G45">
        <v>113.2</v>
      </c>
      <c r="H45">
        <v>110.9</v>
      </c>
      <c r="I45">
        <v>113</v>
      </c>
      <c r="J45">
        <v>110.95</v>
      </c>
      <c r="K45">
        <v>113.7</v>
      </c>
    </row>
    <row r="46" spans="1:11" x14ac:dyDescent="0.35">
      <c r="A46" t="s">
        <v>15</v>
      </c>
      <c r="B46">
        <v>2014</v>
      </c>
      <c r="C46" t="s">
        <v>17</v>
      </c>
      <c r="D46">
        <v>114.4846154</v>
      </c>
      <c r="E46">
        <v>115.2</v>
      </c>
      <c r="F46">
        <v>115.6333333</v>
      </c>
      <c r="G46">
        <v>113.2</v>
      </c>
      <c r="H46">
        <v>112.5</v>
      </c>
      <c r="I46">
        <v>113.2</v>
      </c>
      <c r="J46">
        <v>110.91666669999999</v>
      </c>
      <c r="K46">
        <v>114.2</v>
      </c>
    </row>
    <row r="47" spans="1:11" x14ac:dyDescent="0.35">
      <c r="A47" t="s">
        <v>11</v>
      </c>
      <c r="B47">
        <v>2014</v>
      </c>
      <c r="C47" t="s">
        <v>18</v>
      </c>
      <c r="D47">
        <v>115.7</v>
      </c>
      <c r="E47">
        <v>115.4</v>
      </c>
      <c r="F47">
        <v>117.33333330000001</v>
      </c>
      <c r="G47" t="str">
        <f>""</f>
        <v/>
      </c>
      <c r="H47">
        <v>113.4</v>
      </c>
      <c r="I47">
        <v>113.7</v>
      </c>
      <c r="J47">
        <v>111.15</v>
      </c>
      <c r="K47">
        <v>115.4</v>
      </c>
    </row>
    <row r="48" spans="1:11" x14ac:dyDescent="0.35">
      <c r="A48" t="s">
        <v>14</v>
      </c>
      <c r="B48">
        <v>2014</v>
      </c>
      <c r="C48" t="s">
        <v>18</v>
      </c>
      <c r="D48">
        <v>115.6923077</v>
      </c>
      <c r="E48">
        <v>117.6</v>
      </c>
      <c r="F48">
        <v>114.83333330000001</v>
      </c>
      <c r="G48">
        <v>113.9</v>
      </c>
      <c r="H48">
        <v>110.9</v>
      </c>
      <c r="I48">
        <v>113.4</v>
      </c>
      <c r="J48">
        <v>111.0666667</v>
      </c>
      <c r="K48">
        <v>114.7</v>
      </c>
    </row>
    <row r="49" spans="1:11" x14ac:dyDescent="0.35">
      <c r="A49" t="s">
        <v>15</v>
      </c>
      <c r="B49">
        <v>2014</v>
      </c>
      <c r="C49" t="s">
        <v>18</v>
      </c>
      <c r="D49">
        <v>115.7</v>
      </c>
      <c r="E49">
        <v>116</v>
      </c>
      <c r="F49">
        <v>116.33333330000001</v>
      </c>
      <c r="G49">
        <v>113.9</v>
      </c>
      <c r="H49">
        <v>112.5</v>
      </c>
      <c r="I49">
        <v>113.6</v>
      </c>
      <c r="J49">
        <v>111.1333333</v>
      </c>
      <c r="K49">
        <v>115.1</v>
      </c>
    </row>
    <row r="50" spans="1:11" x14ac:dyDescent="0.35">
      <c r="A50" t="s">
        <v>11</v>
      </c>
      <c r="B50">
        <v>2014</v>
      </c>
      <c r="C50" t="s">
        <v>19</v>
      </c>
      <c r="D50">
        <v>116.4538462</v>
      </c>
      <c r="E50">
        <v>116.3</v>
      </c>
      <c r="F50">
        <v>118</v>
      </c>
      <c r="G50" t="str">
        <f>""</f>
        <v/>
      </c>
      <c r="H50">
        <v>113.4</v>
      </c>
      <c r="I50">
        <v>114.1</v>
      </c>
      <c r="J50">
        <v>111.3666667</v>
      </c>
      <c r="K50">
        <v>116</v>
      </c>
    </row>
    <row r="51" spans="1:11" x14ac:dyDescent="0.35">
      <c r="A51" t="s">
        <v>14</v>
      </c>
      <c r="B51">
        <v>2014</v>
      </c>
      <c r="C51" t="s">
        <v>19</v>
      </c>
      <c r="D51">
        <v>117.33076920000001</v>
      </c>
      <c r="E51">
        <v>118.3</v>
      </c>
      <c r="F51">
        <v>115.3</v>
      </c>
      <c r="G51">
        <v>114.3</v>
      </c>
      <c r="H51">
        <v>111.1</v>
      </c>
      <c r="I51">
        <v>114.1</v>
      </c>
      <c r="J51">
        <v>111.3166667</v>
      </c>
      <c r="K51">
        <v>115.6</v>
      </c>
    </row>
    <row r="52" spans="1:11" x14ac:dyDescent="0.35">
      <c r="A52" t="s">
        <v>15</v>
      </c>
      <c r="B52">
        <v>2014</v>
      </c>
      <c r="C52" t="s">
        <v>19</v>
      </c>
      <c r="D52">
        <v>116.8076923</v>
      </c>
      <c r="E52">
        <v>116.8</v>
      </c>
      <c r="F52">
        <v>116.9333333</v>
      </c>
      <c r="G52">
        <v>114.3</v>
      </c>
      <c r="H52">
        <v>112.5</v>
      </c>
      <c r="I52">
        <v>114.1</v>
      </c>
      <c r="J52">
        <v>111.3666667</v>
      </c>
      <c r="K52">
        <v>115.8</v>
      </c>
    </row>
    <row r="53" spans="1:11" x14ac:dyDescent="0.35">
      <c r="A53" t="s">
        <v>11</v>
      </c>
      <c r="B53">
        <v>2014</v>
      </c>
      <c r="C53" t="s">
        <v>20</v>
      </c>
      <c r="D53">
        <v>117.36153849999999</v>
      </c>
      <c r="E53">
        <v>117.3</v>
      </c>
      <c r="F53">
        <v>118.7666667</v>
      </c>
      <c r="G53" t="str">
        <f>""</f>
        <v/>
      </c>
      <c r="H53">
        <v>114.4</v>
      </c>
      <c r="I53">
        <v>114.9</v>
      </c>
      <c r="J53">
        <v>111.83333330000001</v>
      </c>
      <c r="K53">
        <v>117</v>
      </c>
    </row>
    <row r="54" spans="1:11" x14ac:dyDescent="0.35">
      <c r="A54" t="s">
        <v>14</v>
      </c>
      <c r="B54">
        <v>2014</v>
      </c>
      <c r="C54" t="s">
        <v>20</v>
      </c>
      <c r="D54">
        <v>119</v>
      </c>
      <c r="E54">
        <v>119</v>
      </c>
      <c r="F54">
        <v>115.7666667</v>
      </c>
      <c r="G54">
        <v>113.9</v>
      </c>
      <c r="H54">
        <v>111.2</v>
      </c>
      <c r="I54">
        <v>114.3</v>
      </c>
      <c r="J54">
        <v>111.7833333</v>
      </c>
      <c r="K54">
        <v>116.4</v>
      </c>
    </row>
    <row r="55" spans="1:11" x14ac:dyDescent="0.35">
      <c r="A55" t="s">
        <v>15</v>
      </c>
      <c r="B55">
        <v>2014</v>
      </c>
      <c r="C55" t="s">
        <v>20</v>
      </c>
      <c r="D55">
        <v>117.97692309999999</v>
      </c>
      <c r="E55">
        <v>117.8</v>
      </c>
      <c r="F55">
        <v>117.5666667</v>
      </c>
      <c r="G55">
        <v>113.9</v>
      </c>
      <c r="H55">
        <v>113.2</v>
      </c>
      <c r="I55">
        <v>114.6</v>
      </c>
      <c r="J55">
        <v>111.85</v>
      </c>
      <c r="K55">
        <v>116.7</v>
      </c>
    </row>
    <row r="56" spans="1:11" x14ac:dyDescent="0.35">
      <c r="A56" t="s">
        <v>11</v>
      </c>
      <c r="B56">
        <v>2014</v>
      </c>
      <c r="C56" t="s">
        <v>21</v>
      </c>
      <c r="D56">
        <v>120.2461538</v>
      </c>
      <c r="E56">
        <v>118</v>
      </c>
      <c r="F56">
        <v>119.7666667</v>
      </c>
      <c r="G56" t="str">
        <f>""</f>
        <v/>
      </c>
      <c r="H56">
        <v>115.3</v>
      </c>
      <c r="I56">
        <v>115.4</v>
      </c>
      <c r="J56">
        <v>112.6333333</v>
      </c>
      <c r="K56">
        <v>119.5</v>
      </c>
    </row>
    <row r="57" spans="1:11" x14ac:dyDescent="0.35">
      <c r="A57" t="s">
        <v>14</v>
      </c>
      <c r="B57">
        <v>2014</v>
      </c>
      <c r="C57" t="s">
        <v>21</v>
      </c>
      <c r="D57">
        <v>123.0384615</v>
      </c>
      <c r="E57">
        <v>121</v>
      </c>
      <c r="F57">
        <v>116.33333330000001</v>
      </c>
      <c r="G57">
        <v>114.8</v>
      </c>
      <c r="H57">
        <v>111.6</v>
      </c>
      <c r="I57">
        <v>114.9</v>
      </c>
      <c r="J57">
        <v>112.9833333</v>
      </c>
      <c r="K57">
        <v>118.9</v>
      </c>
    </row>
    <row r="58" spans="1:11" x14ac:dyDescent="0.35">
      <c r="A58" t="s">
        <v>15</v>
      </c>
      <c r="B58">
        <v>2014</v>
      </c>
      <c r="C58" t="s">
        <v>21</v>
      </c>
      <c r="D58">
        <v>121.2538462</v>
      </c>
      <c r="E58">
        <v>118.8</v>
      </c>
      <c r="F58">
        <v>118.33333330000001</v>
      </c>
      <c r="G58">
        <v>114.8</v>
      </c>
      <c r="H58">
        <v>113.9</v>
      </c>
      <c r="I58">
        <v>115.2</v>
      </c>
      <c r="J58">
        <v>112.8666667</v>
      </c>
      <c r="K58">
        <v>119.2</v>
      </c>
    </row>
    <row r="59" spans="1:11" x14ac:dyDescent="0.35">
      <c r="A59" t="s">
        <v>11</v>
      </c>
      <c r="B59">
        <v>2014</v>
      </c>
      <c r="C59" t="s">
        <v>22</v>
      </c>
      <c r="D59">
        <v>121.71538459999999</v>
      </c>
      <c r="E59">
        <v>118.8</v>
      </c>
      <c r="F59">
        <v>120.1333333</v>
      </c>
      <c r="G59" t="str">
        <f>""</f>
        <v/>
      </c>
      <c r="H59">
        <v>115.4</v>
      </c>
      <c r="I59">
        <v>115.9</v>
      </c>
      <c r="J59">
        <v>113.08333330000001</v>
      </c>
      <c r="K59">
        <v>120.7</v>
      </c>
    </row>
    <row r="60" spans="1:11" x14ac:dyDescent="0.35">
      <c r="A60" t="s">
        <v>14</v>
      </c>
      <c r="B60">
        <v>2014</v>
      </c>
      <c r="C60" t="s">
        <v>22</v>
      </c>
      <c r="D60">
        <v>124.3846154</v>
      </c>
      <c r="E60">
        <v>123</v>
      </c>
      <c r="F60">
        <v>116.8666667</v>
      </c>
      <c r="G60">
        <v>115.5</v>
      </c>
      <c r="H60">
        <v>111.8</v>
      </c>
      <c r="I60">
        <v>115.3</v>
      </c>
      <c r="J60">
        <v>113.5333333</v>
      </c>
      <c r="K60">
        <v>119.9</v>
      </c>
    </row>
    <row r="61" spans="1:11" x14ac:dyDescent="0.35">
      <c r="A61" t="s">
        <v>15</v>
      </c>
      <c r="B61">
        <v>2014</v>
      </c>
      <c r="C61" t="s">
        <v>22</v>
      </c>
      <c r="D61">
        <v>122.6538462</v>
      </c>
      <c r="E61">
        <v>119.9</v>
      </c>
      <c r="F61">
        <v>118.8</v>
      </c>
      <c r="G61">
        <v>115.5</v>
      </c>
      <c r="H61">
        <v>114</v>
      </c>
      <c r="I61">
        <v>115.6</v>
      </c>
      <c r="J61">
        <v>113.3833333</v>
      </c>
      <c r="K61">
        <v>120.3</v>
      </c>
    </row>
    <row r="62" spans="1:11" x14ac:dyDescent="0.35">
      <c r="A62" t="s">
        <v>11</v>
      </c>
      <c r="B62">
        <v>2014</v>
      </c>
      <c r="C62" t="s">
        <v>23</v>
      </c>
      <c r="D62">
        <v>121.78461540000001</v>
      </c>
      <c r="E62">
        <v>119.5</v>
      </c>
      <c r="F62">
        <v>120.7333333</v>
      </c>
      <c r="G62" t="str">
        <f>""</f>
        <v/>
      </c>
      <c r="H62">
        <v>115.8</v>
      </c>
      <c r="I62">
        <v>116.7</v>
      </c>
      <c r="J62">
        <v>113.2166667</v>
      </c>
      <c r="K62">
        <v>120.9</v>
      </c>
    </row>
    <row r="63" spans="1:11" x14ac:dyDescent="0.35">
      <c r="A63" t="s">
        <v>14</v>
      </c>
      <c r="B63">
        <v>2014</v>
      </c>
      <c r="C63" t="s">
        <v>23</v>
      </c>
      <c r="D63">
        <v>122.59230770000001</v>
      </c>
      <c r="E63">
        <v>124.3</v>
      </c>
      <c r="F63">
        <v>117.3666667</v>
      </c>
      <c r="G63">
        <v>116.1</v>
      </c>
      <c r="H63">
        <v>111.8</v>
      </c>
      <c r="I63">
        <v>115.5</v>
      </c>
      <c r="J63">
        <v>113.41666669999999</v>
      </c>
      <c r="K63">
        <v>119.2</v>
      </c>
    </row>
    <row r="64" spans="1:11" x14ac:dyDescent="0.35">
      <c r="A64" t="s">
        <v>15</v>
      </c>
      <c r="B64">
        <v>2014</v>
      </c>
      <c r="C64" t="s">
        <v>23</v>
      </c>
      <c r="D64">
        <v>122.0076923</v>
      </c>
      <c r="E64">
        <v>120.8</v>
      </c>
      <c r="F64">
        <v>119.33333330000001</v>
      </c>
      <c r="G64">
        <v>116.1</v>
      </c>
      <c r="H64">
        <v>114.3</v>
      </c>
      <c r="I64">
        <v>116.1</v>
      </c>
      <c r="J64">
        <v>113.4333333</v>
      </c>
      <c r="K64">
        <v>120.1</v>
      </c>
    </row>
    <row r="65" spans="1:11" x14ac:dyDescent="0.35">
      <c r="A65" t="s">
        <v>11</v>
      </c>
      <c r="B65">
        <v>2014</v>
      </c>
      <c r="C65" t="s">
        <v>24</v>
      </c>
      <c r="D65">
        <v>121.6307692</v>
      </c>
      <c r="E65">
        <v>120</v>
      </c>
      <c r="F65">
        <v>121.7666667</v>
      </c>
      <c r="G65" t="str">
        <f>""</f>
        <v/>
      </c>
      <c r="H65">
        <v>116.4</v>
      </c>
      <c r="I65">
        <v>117.5</v>
      </c>
      <c r="J65">
        <v>113.5166667</v>
      </c>
      <c r="K65">
        <v>121</v>
      </c>
    </row>
    <row r="66" spans="1:11" x14ac:dyDescent="0.35">
      <c r="A66" t="s">
        <v>14</v>
      </c>
      <c r="B66">
        <v>2014</v>
      </c>
      <c r="C66" t="s">
        <v>24</v>
      </c>
      <c r="D66">
        <v>122.1153846</v>
      </c>
      <c r="E66">
        <v>124.3</v>
      </c>
      <c r="F66">
        <v>117.8</v>
      </c>
      <c r="G66">
        <v>116.7</v>
      </c>
      <c r="H66">
        <v>112</v>
      </c>
      <c r="I66">
        <v>115.8</v>
      </c>
      <c r="J66">
        <v>113.5333333</v>
      </c>
      <c r="K66">
        <v>119.1</v>
      </c>
    </row>
    <row r="67" spans="1:11" x14ac:dyDescent="0.35">
      <c r="A67" t="s">
        <v>15</v>
      </c>
      <c r="B67">
        <v>2014</v>
      </c>
      <c r="C67" t="s">
        <v>24</v>
      </c>
      <c r="D67">
        <v>121.7461538</v>
      </c>
      <c r="E67">
        <v>121.1</v>
      </c>
      <c r="F67">
        <v>120.2</v>
      </c>
      <c r="G67">
        <v>116.7</v>
      </c>
      <c r="H67">
        <v>114.7</v>
      </c>
      <c r="I67">
        <v>116.7</v>
      </c>
      <c r="J67">
        <v>113.6166667</v>
      </c>
      <c r="K67">
        <v>120.1</v>
      </c>
    </row>
    <row r="68" spans="1:11" x14ac:dyDescent="0.35">
      <c r="A68" t="s">
        <v>11</v>
      </c>
      <c r="B68">
        <v>2014</v>
      </c>
      <c r="C68" t="s">
        <v>26</v>
      </c>
      <c r="D68">
        <v>121.6923077</v>
      </c>
      <c r="E68">
        <v>120.8</v>
      </c>
      <c r="F68">
        <v>122.2333333</v>
      </c>
      <c r="G68" t="str">
        <f>""</f>
        <v/>
      </c>
      <c r="H68">
        <v>117.3</v>
      </c>
      <c r="I68">
        <v>118.1</v>
      </c>
      <c r="J68">
        <v>113.55</v>
      </c>
      <c r="K68">
        <v>121.1</v>
      </c>
    </row>
    <row r="69" spans="1:11" x14ac:dyDescent="0.35">
      <c r="A69" t="s">
        <v>14</v>
      </c>
      <c r="B69">
        <v>2014</v>
      </c>
      <c r="C69" t="s">
        <v>26</v>
      </c>
      <c r="D69">
        <v>122.13846150000001</v>
      </c>
      <c r="E69">
        <v>125.8</v>
      </c>
      <c r="F69">
        <v>118.4</v>
      </c>
      <c r="G69">
        <v>117.1</v>
      </c>
      <c r="H69">
        <v>112.6</v>
      </c>
      <c r="I69">
        <v>116.4</v>
      </c>
      <c r="J69">
        <v>113.33333330000001</v>
      </c>
      <c r="K69">
        <v>119</v>
      </c>
    </row>
    <row r="70" spans="1:11" x14ac:dyDescent="0.35">
      <c r="A70" t="s">
        <v>15</v>
      </c>
      <c r="B70">
        <v>2014</v>
      </c>
      <c r="C70" t="s">
        <v>26</v>
      </c>
      <c r="D70">
        <v>121.78461540000001</v>
      </c>
      <c r="E70">
        <v>122.1</v>
      </c>
      <c r="F70">
        <v>120.7</v>
      </c>
      <c r="G70">
        <v>117.1</v>
      </c>
      <c r="H70">
        <v>115.5</v>
      </c>
      <c r="I70">
        <v>117.3</v>
      </c>
      <c r="J70">
        <v>113.5333333</v>
      </c>
      <c r="K70">
        <v>120.1</v>
      </c>
    </row>
    <row r="71" spans="1:11" x14ac:dyDescent="0.35">
      <c r="A71" t="s">
        <v>11</v>
      </c>
      <c r="B71">
        <v>2014</v>
      </c>
      <c r="C71" t="s">
        <v>27</v>
      </c>
      <c r="D71">
        <v>120.7384615</v>
      </c>
      <c r="E71">
        <v>121.7</v>
      </c>
      <c r="F71">
        <v>122.5666667</v>
      </c>
      <c r="G71" t="str">
        <f>""</f>
        <v/>
      </c>
      <c r="H71">
        <v>117.4</v>
      </c>
      <c r="I71">
        <v>118.2</v>
      </c>
      <c r="J71">
        <v>113.7166667</v>
      </c>
      <c r="K71">
        <v>120.3</v>
      </c>
    </row>
    <row r="72" spans="1:11" x14ac:dyDescent="0.35">
      <c r="A72" t="s">
        <v>14</v>
      </c>
      <c r="B72">
        <v>2014</v>
      </c>
      <c r="C72" t="s">
        <v>27</v>
      </c>
      <c r="D72">
        <v>121.3230769</v>
      </c>
      <c r="E72">
        <v>126.4</v>
      </c>
      <c r="F72">
        <v>118.83333330000001</v>
      </c>
      <c r="G72">
        <v>116.5</v>
      </c>
      <c r="H72">
        <v>113</v>
      </c>
      <c r="I72">
        <v>116.8</v>
      </c>
      <c r="J72">
        <v>113.4666667</v>
      </c>
      <c r="K72">
        <v>118.4</v>
      </c>
    </row>
    <row r="73" spans="1:11" x14ac:dyDescent="0.35">
      <c r="A73" t="s">
        <v>15</v>
      </c>
      <c r="B73">
        <v>2014</v>
      </c>
      <c r="C73" t="s">
        <v>27</v>
      </c>
      <c r="D73">
        <v>120.9</v>
      </c>
      <c r="E73">
        <v>123</v>
      </c>
      <c r="F73">
        <v>121.0666667</v>
      </c>
      <c r="G73">
        <v>116.5</v>
      </c>
      <c r="H73">
        <v>115.7</v>
      </c>
      <c r="I73">
        <v>117.5</v>
      </c>
      <c r="J73">
        <v>113.7</v>
      </c>
      <c r="K73">
        <v>119.4</v>
      </c>
    </row>
    <row r="74" spans="1:11" x14ac:dyDescent="0.35">
      <c r="A74" t="s">
        <v>11</v>
      </c>
      <c r="B74">
        <v>2015</v>
      </c>
      <c r="C74" t="s">
        <v>12</v>
      </c>
      <c r="D74">
        <v>120.6230769</v>
      </c>
      <c r="E74">
        <v>122.7</v>
      </c>
      <c r="F74">
        <v>123.33333330000001</v>
      </c>
      <c r="G74" t="str">
        <f>""</f>
        <v/>
      </c>
      <c r="H74">
        <v>118.4</v>
      </c>
      <c r="I74">
        <v>118.9</v>
      </c>
      <c r="J74">
        <v>114.08333330000001</v>
      </c>
      <c r="K74">
        <v>120.3</v>
      </c>
    </row>
    <row r="75" spans="1:11" x14ac:dyDescent="0.35">
      <c r="A75" t="s">
        <v>14</v>
      </c>
      <c r="B75">
        <v>2015</v>
      </c>
      <c r="C75" t="s">
        <v>12</v>
      </c>
      <c r="D75">
        <v>121.14615379999999</v>
      </c>
      <c r="E75">
        <v>127.4</v>
      </c>
      <c r="F75">
        <v>119.1</v>
      </c>
      <c r="G75">
        <v>117.3</v>
      </c>
      <c r="H75">
        <v>113.4</v>
      </c>
      <c r="I75">
        <v>117.2</v>
      </c>
      <c r="J75">
        <v>113.6333333</v>
      </c>
      <c r="K75">
        <v>118.5</v>
      </c>
    </row>
    <row r="76" spans="1:11" x14ac:dyDescent="0.35">
      <c r="A76" t="s">
        <v>15</v>
      </c>
      <c r="B76">
        <v>2015</v>
      </c>
      <c r="C76" t="s">
        <v>12</v>
      </c>
      <c r="D76">
        <v>120.71538459999999</v>
      </c>
      <c r="E76">
        <v>124</v>
      </c>
      <c r="F76">
        <v>121.6333333</v>
      </c>
      <c r="G76">
        <v>117.3</v>
      </c>
      <c r="H76">
        <v>116.5</v>
      </c>
      <c r="I76">
        <v>118.1</v>
      </c>
      <c r="J76">
        <v>113.9333333</v>
      </c>
      <c r="K76">
        <v>119.5</v>
      </c>
    </row>
    <row r="77" spans="1:11" x14ac:dyDescent="0.35">
      <c r="A77" t="s">
        <v>11</v>
      </c>
      <c r="B77">
        <v>2015</v>
      </c>
      <c r="C77" t="s">
        <v>16</v>
      </c>
      <c r="D77">
        <v>120.8153846</v>
      </c>
      <c r="E77">
        <v>124.2</v>
      </c>
      <c r="F77">
        <v>124.3666667</v>
      </c>
      <c r="G77" t="str">
        <f>""</f>
        <v/>
      </c>
      <c r="H77">
        <v>120</v>
      </c>
      <c r="I77">
        <v>119.6</v>
      </c>
      <c r="J77">
        <v>114.65</v>
      </c>
      <c r="K77">
        <v>120.6</v>
      </c>
    </row>
    <row r="78" spans="1:11" x14ac:dyDescent="0.35">
      <c r="A78" t="s">
        <v>14</v>
      </c>
      <c r="B78">
        <v>2015</v>
      </c>
      <c r="C78" t="s">
        <v>16</v>
      </c>
      <c r="D78">
        <v>120.85384620000001</v>
      </c>
      <c r="E78">
        <v>128.1</v>
      </c>
      <c r="F78">
        <v>119.4666667</v>
      </c>
      <c r="G78">
        <v>118.1</v>
      </c>
      <c r="H78">
        <v>114</v>
      </c>
      <c r="I78">
        <v>117.7</v>
      </c>
      <c r="J78">
        <v>113.5166667</v>
      </c>
      <c r="K78">
        <v>118.7</v>
      </c>
    </row>
    <row r="79" spans="1:11" x14ac:dyDescent="0.35">
      <c r="A79" t="s">
        <v>15</v>
      </c>
      <c r="B79">
        <v>2015</v>
      </c>
      <c r="C79" t="s">
        <v>16</v>
      </c>
      <c r="D79">
        <v>120.7230769</v>
      </c>
      <c r="E79">
        <v>125.2</v>
      </c>
      <c r="F79">
        <v>122.4</v>
      </c>
      <c r="G79">
        <v>118.1</v>
      </c>
      <c r="H79">
        <v>117.7</v>
      </c>
      <c r="I79">
        <v>118.7</v>
      </c>
      <c r="J79">
        <v>114.15</v>
      </c>
      <c r="K79">
        <v>119.7</v>
      </c>
    </row>
    <row r="80" spans="1:11" x14ac:dyDescent="0.35">
      <c r="A80" t="s">
        <v>11</v>
      </c>
      <c r="B80">
        <v>2015</v>
      </c>
      <c r="C80" t="s">
        <v>17</v>
      </c>
      <c r="D80">
        <v>120.8846154</v>
      </c>
      <c r="E80">
        <v>124.7</v>
      </c>
      <c r="F80">
        <v>124.8</v>
      </c>
      <c r="G80" t="str">
        <f>""</f>
        <v/>
      </c>
      <c r="H80">
        <v>120.6</v>
      </c>
      <c r="I80">
        <v>120.2</v>
      </c>
      <c r="J80">
        <v>115.16666669999999</v>
      </c>
      <c r="K80">
        <v>121.1</v>
      </c>
    </row>
    <row r="81" spans="1:11" x14ac:dyDescent="0.35">
      <c r="A81" t="s">
        <v>14</v>
      </c>
      <c r="B81">
        <v>2015</v>
      </c>
      <c r="C81" t="s">
        <v>17</v>
      </c>
      <c r="D81">
        <v>120.6153846</v>
      </c>
      <c r="E81">
        <v>128.80000000000001</v>
      </c>
      <c r="F81">
        <v>119.83333330000001</v>
      </c>
      <c r="G81">
        <v>118.6</v>
      </c>
      <c r="H81">
        <v>114.4</v>
      </c>
      <c r="I81">
        <v>118</v>
      </c>
      <c r="J81">
        <v>113.9666667</v>
      </c>
      <c r="K81">
        <v>119.1</v>
      </c>
    </row>
    <row r="82" spans="1:11" x14ac:dyDescent="0.35">
      <c r="A82" t="s">
        <v>15</v>
      </c>
      <c r="B82">
        <v>2015</v>
      </c>
      <c r="C82" t="s">
        <v>17</v>
      </c>
      <c r="D82">
        <v>120.7</v>
      </c>
      <c r="E82">
        <v>125.8</v>
      </c>
      <c r="F82">
        <v>122.8</v>
      </c>
      <c r="G82">
        <v>118.6</v>
      </c>
      <c r="H82">
        <v>118.3</v>
      </c>
      <c r="I82">
        <v>119.2</v>
      </c>
      <c r="J82">
        <v>114.6333333</v>
      </c>
      <c r="K82">
        <v>120.2</v>
      </c>
    </row>
    <row r="83" spans="1:11" x14ac:dyDescent="0.35">
      <c r="A83" t="s">
        <v>11</v>
      </c>
      <c r="B83">
        <v>2015</v>
      </c>
      <c r="C83" t="s">
        <v>18</v>
      </c>
      <c r="D83">
        <v>121.3230769</v>
      </c>
      <c r="E83">
        <v>125.7</v>
      </c>
      <c r="F83">
        <v>125.2333333</v>
      </c>
      <c r="G83" t="str">
        <f>""</f>
        <v/>
      </c>
      <c r="H83">
        <v>121.2</v>
      </c>
      <c r="I83">
        <v>120.9</v>
      </c>
      <c r="J83">
        <v>115.7</v>
      </c>
      <c r="K83">
        <v>121.5</v>
      </c>
    </row>
    <row r="84" spans="1:11" x14ac:dyDescent="0.35">
      <c r="A84" t="s">
        <v>14</v>
      </c>
      <c r="B84">
        <v>2015</v>
      </c>
      <c r="C84" t="s">
        <v>18</v>
      </c>
      <c r="D84">
        <v>121.2384615</v>
      </c>
      <c r="E84">
        <v>130.1</v>
      </c>
      <c r="F84">
        <v>120.2</v>
      </c>
      <c r="G84">
        <v>119.2</v>
      </c>
      <c r="H84">
        <v>114.7</v>
      </c>
      <c r="I84">
        <v>118.4</v>
      </c>
      <c r="J84">
        <v>114.3833333</v>
      </c>
      <c r="K84">
        <v>119.7</v>
      </c>
    </row>
    <row r="85" spans="1:11" x14ac:dyDescent="0.35">
      <c r="A85" t="s">
        <v>15</v>
      </c>
      <c r="B85">
        <v>2015</v>
      </c>
      <c r="C85" t="s">
        <v>18</v>
      </c>
      <c r="D85">
        <v>121.20769230000001</v>
      </c>
      <c r="E85">
        <v>126.9</v>
      </c>
      <c r="F85">
        <v>123.2</v>
      </c>
      <c r="G85">
        <v>119.2</v>
      </c>
      <c r="H85">
        <v>118.7</v>
      </c>
      <c r="I85">
        <v>119.7</v>
      </c>
      <c r="J85">
        <v>115.15</v>
      </c>
      <c r="K85">
        <v>120.7</v>
      </c>
    </row>
    <row r="86" spans="1:11" x14ac:dyDescent="0.35">
      <c r="A86" t="s">
        <v>11</v>
      </c>
      <c r="B86">
        <v>2015</v>
      </c>
      <c r="C86" t="s">
        <v>19</v>
      </c>
      <c r="D86">
        <v>122.1307692</v>
      </c>
      <c r="E86">
        <v>126.7</v>
      </c>
      <c r="F86">
        <v>126.0666667</v>
      </c>
      <c r="G86" t="str">
        <f>""</f>
        <v/>
      </c>
      <c r="H86">
        <v>121.9</v>
      </c>
      <c r="I86">
        <v>121.5</v>
      </c>
      <c r="J86">
        <v>116.5166667</v>
      </c>
      <c r="K86">
        <v>122.4</v>
      </c>
    </row>
    <row r="87" spans="1:11" x14ac:dyDescent="0.35">
      <c r="A87" t="s">
        <v>14</v>
      </c>
      <c r="B87">
        <v>2015</v>
      </c>
      <c r="C87" t="s">
        <v>19</v>
      </c>
      <c r="D87">
        <v>122.9923077</v>
      </c>
      <c r="E87">
        <v>131.30000000000001</v>
      </c>
      <c r="F87">
        <v>120.4666667</v>
      </c>
      <c r="G87">
        <v>119.6</v>
      </c>
      <c r="H87">
        <v>114.9</v>
      </c>
      <c r="I87">
        <v>118.7</v>
      </c>
      <c r="J87">
        <v>115.2166667</v>
      </c>
      <c r="K87">
        <v>120.7</v>
      </c>
    </row>
    <row r="88" spans="1:11" x14ac:dyDescent="0.35">
      <c r="A88" t="s">
        <v>15</v>
      </c>
      <c r="B88">
        <v>2015</v>
      </c>
      <c r="C88" t="s">
        <v>19</v>
      </c>
      <c r="D88">
        <v>122.33846149999999</v>
      </c>
      <c r="E88">
        <v>127.9</v>
      </c>
      <c r="F88">
        <v>123.8</v>
      </c>
      <c r="G88">
        <v>119.6</v>
      </c>
      <c r="H88">
        <v>119.2</v>
      </c>
      <c r="I88">
        <v>120.2</v>
      </c>
      <c r="J88">
        <v>115.9666667</v>
      </c>
      <c r="K88">
        <v>121.6</v>
      </c>
    </row>
    <row r="89" spans="1:11" x14ac:dyDescent="0.35">
      <c r="A89" t="s">
        <v>11</v>
      </c>
      <c r="B89">
        <v>2015</v>
      </c>
      <c r="C89" t="s">
        <v>20</v>
      </c>
      <c r="D89">
        <v>124.4538462</v>
      </c>
      <c r="E89">
        <v>128.19999999999999</v>
      </c>
      <c r="F89">
        <v>127.16666669999999</v>
      </c>
      <c r="G89" t="str">
        <f>""</f>
        <v/>
      </c>
      <c r="H89">
        <v>122.6</v>
      </c>
      <c r="I89">
        <v>122.8</v>
      </c>
      <c r="J89">
        <v>117.5666667</v>
      </c>
      <c r="K89">
        <v>124.1</v>
      </c>
    </row>
    <row r="90" spans="1:11" x14ac:dyDescent="0.35">
      <c r="A90" t="s">
        <v>14</v>
      </c>
      <c r="B90">
        <v>2015</v>
      </c>
      <c r="C90" t="s">
        <v>20</v>
      </c>
      <c r="D90">
        <v>125.8923077</v>
      </c>
      <c r="E90">
        <v>132.1</v>
      </c>
      <c r="F90">
        <v>121.0333333</v>
      </c>
      <c r="G90">
        <v>119</v>
      </c>
      <c r="H90">
        <v>115.1</v>
      </c>
      <c r="I90">
        <v>119.2</v>
      </c>
      <c r="J90">
        <v>115.9333333</v>
      </c>
      <c r="K90">
        <v>121.7</v>
      </c>
    </row>
    <row r="91" spans="1:11" x14ac:dyDescent="0.35">
      <c r="A91" t="s">
        <v>15</v>
      </c>
      <c r="B91">
        <v>2015</v>
      </c>
      <c r="C91" t="s">
        <v>20</v>
      </c>
      <c r="D91">
        <v>124.8846154</v>
      </c>
      <c r="E91">
        <v>129.19999999999999</v>
      </c>
      <c r="F91">
        <v>124.7</v>
      </c>
      <c r="G91">
        <v>119</v>
      </c>
      <c r="H91">
        <v>119.8</v>
      </c>
      <c r="I91">
        <v>121.1</v>
      </c>
      <c r="J91">
        <v>116.8666667</v>
      </c>
      <c r="K91">
        <v>123</v>
      </c>
    </row>
    <row r="92" spans="1:11" x14ac:dyDescent="0.35">
      <c r="A92" t="s">
        <v>11</v>
      </c>
      <c r="B92">
        <v>2015</v>
      </c>
      <c r="C92" t="s">
        <v>21</v>
      </c>
      <c r="D92">
        <v>125.02307690000001</v>
      </c>
      <c r="E92">
        <v>129.4</v>
      </c>
      <c r="F92">
        <v>127.5333333</v>
      </c>
      <c r="G92" t="str">
        <f>""</f>
        <v/>
      </c>
      <c r="H92">
        <v>123</v>
      </c>
      <c r="I92">
        <v>123</v>
      </c>
      <c r="J92">
        <v>117.7666667</v>
      </c>
      <c r="K92">
        <v>124.7</v>
      </c>
    </row>
    <row r="93" spans="1:11" x14ac:dyDescent="0.35">
      <c r="A93" t="s">
        <v>14</v>
      </c>
      <c r="B93">
        <v>2015</v>
      </c>
      <c r="C93" t="s">
        <v>21</v>
      </c>
      <c r="D93">
        <v>126.3769231</v>
      </c>
      <c r="E93">
        <v>133.1</v>
      </c>
      <c r="F93">
        <v>121.3666667</v>
      </c>
      <c r="G93">
        <v>119.9</v>
      </c>
      <c r="H93">
        <v>115.3</v>
      </c>
      <c r="I93">
        <v>119.5</v>
      </c>
      <c r="J93">
        <v>116.25</v>
      </c>
      <c r="K93">
        <v>122.4</v>
      </c>
    </row>
    <row r="94" spans="1:11" x14ac:dyDescent="0.35">
      <c r="A94" t="s">
        <v>15</v>
      </c>
      <c r="B94">
        <v>2015</v>
      </c>
      <c r="C94" t="s">
        <v>21</v>
      </c>
      <c r="D94">
        <v>125.4307692</v>
      </c>
      <c r="E94">
        <v>130.4</v>
      </c>
      <c r="F94">
        <v>125.0333333</v>
      </c>
      <c r="G94">
        <v>119.9</v>
      </c>
      <c r="H94">
        <v>120.1</v>
      </c>
      <c r="I94">
        <v>121.3</v>
      </c>
      <c r="J94">
        <v>117.1333333</v>
      </c>
      <c r="K94">
        <v>123.6</v>
      </c>
    </row>
    <row r="95" spans="1:11" x14ac:dyDescent="0.35">
      <c r="A95" t="s">
        <v>11</v>
      </c>
      <c r="B95">
        <v>2015</v>
      </c>
      <c r="C95" t="s">
        <v>22</v>
      </c>
      <c r="D95">
        <v>126.66153850000001</v>
      </c>
      <c r="E95">
        <v>130.1</v>
      </c>
      <c r="F95">
        <v>128.2666667</v>
      </c>
      <c r="G95" t="str">
        <f>""</f>
        <v/>
      </c>
      <c r="H95">
        <v>123.8</v>
      </c>
      <c r="I95">
        <v>123.7</v>
      </c>
      <c r="J95">
        <v>117.91666669999999</v>
      </c>
      <c r="K95">
        <v>126.1</v>
      </c>
    </row>
    <row r="96" spans="1:11" x14ac:dyDescent="0.35">
      <c r="A96" t="s">
        <v>14</v>
      </c>
      <c r="B96">
        <v>2015</v>
      </c>
      <c r="C96" t="s">
        <v>22</v>
      </c>
      <c r="D96">
        <v>127.6076923</v>
      </c>
      <c r="E96">
        <v>134.19999999999999</v>
      </c>
      <c r="F96">
        <v>121.6</v>
      </c>
      <c r="G96">
        <v>120.9</v>
      </c>
      <c r="H96">
        <v>115.3</v>
      </c>
      <c r="I96">
        <v>120</v>
      </c>
      <c r="J96">
        <v>116.35</v>
      </c>
      <c r="K96">
        <v>123.2</v>
      </c>
    </row>
    <row r="97" spans="1:11" x14ac:dyDescent="0.35">
      <c r="A97" t="s">
        <v>15</v>
      </c>
      <c r="B97">
        <v>2015</v>
      </c>
      <c r="C97" t="s">
        <v>22</v>
      </c>
      <c r="D97">
        <v>126.8923077</v>
      </c>
      <c r="E97">
        <v>131.19999999999999</v>
      </c>
      <c r="F97">
        <v>125.5666667</v>
      </c>
      <c r="G97">
        <v>120.9</v>
      </c>
      <c r="H97">
        <v>120.6</v>
      </c>
      <c r="I97">
        <v>122</v>
      </c>
      <c r="J97">
        <v>117.25</v>
      </c>
      <c r="K97">
        <v>124.8</v>
      </c>
    </row>
    <row r="98" spans="1:11" x14ac:dyDescent="0.35">
      <c r="A98" t="s">
        <v>11</v>
      </c>
      <c r="B98">
        <v>2015</v>
      </c>
      <c r="C98" t="s">
        <v>23</v>
      </c>
      <c r="D98">
        <v>127.5076923</v>
      </c>
      <c r="E98">
        <v>131</v>
      </c>
      <c r="F98">
        <v>129.03333330000001</v>
      </c>
      <c r="G98" t="str">
        <f>""</f>
        <v/>
      </c>
      <c r="H98">
        <v>123.7</v>
      </c>
      <c r="I98">
        <v>124.5</v>
      </c>
      <c r="J98">
        <v>118.6333333</v>
      </c>
      <c r="K98">
        <v>127</v>
      </c>
    </row>
    <row r="99" spans="1:11" x14ac:dyDescent="0.35">
      <c r="A99" t="s">
        <v>14</v>
      </c>
      <c r="B99">
        <v>2015</v>
      </c>
      <c r="C99" t="s">
        <v>23</v>
      </c>
      <c r="D99">
        <v>128.06153850000001</v>
      </c>
      <c r="E99">
        <v>134.69999999999999</v>
      </c>
      <c r="F99">
        <v>121.9333333</v>
      </c>
      <c r="G99">
        <v>121.6</v>
      </c>
      <c r="H99">
        <v>115.1</v>
      </c>
      <c r="I99">
        <v>120.4</v>
      </c>
      <c r="J99">
        <v>116.5166667</v>
      </c>
      <c r="K99">
        <v>123.5</v>
      </c>
    </row>
    <row r="100" spans="1:11" x14ac:dyDescent="0.35">
      <c r="A100" t="s">
        <v>15</v>
      </c>
      <c r="B100">
        <v>2015</v>
      </c>
      <c r="C100" t="s">
        <v>23</v>
      </c>
      <c r="D100">
        <v>127.5615385</v>
      </c>
      <c r="E100">
        <v>132</v>
      </c>
      <c r="F100">
        <v>126.16666669999999</v>
      </c>
      <c r="G100">
        <v>121.6</v>
      </c>
      <c r="H100">
        <v>120.4</v>
      </c>
      <c r="I100">
        <v>122.6</v>
      </c>
      <c r="J100">
        <v>117.66666669999999</v>
      </c>
      <c r="K100">
        <v>125.4</v>
      </c>
    </row>
    <row r="101" spans="1:11" x14ac:dyDescent="0.35">
      <c r="A101" t="s">
        <v>11</v>
      </c>
      <c r="B101">
        <v>2015</v>
      </c>
      <c r="C101" t="s">
        <v>24</v>
      </c>
      <c r="D101">
        <v>128.81538459999999</v>
      </c>
      <c r="E101">
        <v>131.5</v>
      </c>
      <c r="F101">
        <v>129.66666670000001</v>
      </c>
      <c r="G101" t="str">
        <f>""</f>
        <v/>
      </c>
      <c r="H101">
        <v>124.4</v>
      </c>
      <c r="I101">
        <v>125.1</v>
      </c>
      <c r="J101">
        <v>119.0666667</v>
      </c>
      <c r="K101">
        <v>127.7</v>
      </c>
    </row>
    <row r="102" spans="1:11" x14ac:dyDescent="0.35">
      <c r="A102" t="s">
        <v>14</v>
      </c>
      <c r="B102">
        <v>2015</v>
      </c>
      <c r="C102" t="s">
        <v>24</v>
      </c>
      <c r="D102">
        <v>130.21538459999999</v>
      </c>
      <c r="E102">
        <v>135.30000000000001</v>
      </c>
      <c r="F102">
        <v>122.2666667</v>
      </c>
      <c r="G102">
        <v>122.4</v>
      </c>
      <c r="H102">
        <v>114.9</v>
      </c>
      <c r="I102">
        <v>120.7</v>
      </c>
      <c r="J102">
        <v>116.8666667</v>
      </c>
      <c r="K102">
        <v>124.2</v>
      </c>
    </row>
    <row r="103" spans="1:11" x14ac:dyDescent="0.35">
      <c r="A103" t="s">
        <v>15</v>
      </c>
      <c r="B103">
        <v>2015</v>
      </c>
      <c r="C103" t="s">
        <v>24</v>
      </c>
      <c r="D103">
        <v>129.1538462</v>
      </c>
      <c r="E103">
        <v>132.5</v>
      </c>
      <c r="F103">
        <v>126.7</v>
      </c>
      <c r="G103">
        <v>122.4</v>
      </c>
      <c r="H103">
        <v>120.8</v>
      </c>
      <c r="I103">
        <v>123</v>
      </c>
      <c r="J103">
        <v>118.0333333</v>
      </c>
      <c r="K103">
        <v>126.1</v>
      </c>
    </row>
    <row r="104" spans="1:11" x14ac:dyDescent="0.35">
      <c r="A104" t="s">
        <v>11</v>
      </c>
      <c r="B104">
        <v>2015</v>
      </c>
      <c r="C104" t="s">
        <v>26</v>
      </c>
      <c r="D104">
        <v>129.71538459999999</v>
      </c>
      <c r="E104">
        <v>132.19999999999999</v>
      </c>
      <c r="F104">
        <v>130.6</v>
      </c>
      <c r="G104" t="str">
        <f>""</f>
        <v/>
      </c>
      <c r="H104">
        <v>125.6</v>
      </c>
      <c r="I104">
        <v>125.6</v>
      </c>
      <c r="J104">
        <v>119.5166667</v>
      </c>
      <c r="K104">
        <v>128.30000000000001</v>
      </c>
    </row>
    <row r="105" spans="1:11" x14ac:dyDescent="0.35">
      <c r="A105" t="s">
        <v>14</v>
      </c>
      <c r="B105">
        <v>2015</v>
      </c>
      <c r="C105" t="s">
        <v>26</v>
      </c>
      <c r="D105">
        <v>131.42307690000001</v>
      </c>
      <c r="E105">
        <v>137.6</v>
      </c>
      <c r="F105">
        <v>122.83333330000001</v>
      </c>
      <c r="G105">
        <v>122.9</v>
      </c>
      <c r="H105">
        <v>115.1</v>
      </c>
      <c r="I105">
        <v>121</v>
      </c>
      <c r="J105">
        <v>116.9666667</v>
      </c>
      <c r="K105">
        <v>124.6</v>
      </c>
    </row>
    <row r="106" spans="1:11" x14ac:dyDescent="0.35">
      <c r="A106" t="s">
        <v>15</v>
      </c>
      <c r="B106">
        <v>2015</v>
      </c>
      <c r="C106" t="s">
        <v>26</v>
      </c>
      <c r="D106">
        <v>130.16153850000001</v>
      </c>
      <c r="E106">
        <v>133.6</v>
      </c>
      <c r="F106">
        <v>127.4666667</v>
      </c>
      <c r="G106">
        <v>122.9</v>
      </c>
      <c r="H106">
        <v>121.6</v>
      </c>
      <c r="I106">
        <v>123.4</v>
      </c>
      <c r="J106">
        <v>118.3</v>
      </c>
      <c r="K106">
        <v>126.6</v>
      </c>
    </row>
    <row r="107" spans="1:11" x14ac:dyDescent="0.35">
      <c r="A107" t="s">
        <v>11</v>
      </c>
      <c r="B107">
        <v>2015</v>
      </c>
      <c r="C107" t="s">
        <v>27</v>
      </c>
      <c r="D107">
        <v>129.40769230000001</v>
      </c>
      <c r="E107">
        <v>133.1</v>
      </c>
      <c r="F107">
        <v>130.96666669999999</v>
      </c>
      <c r="G107" t="str">
        <f>""</f>
        <v/>
      </c>
      <c r="H107">
        <v>125.7</v>
      </c>
      <c r="I107">
        <v>126</v>
      </c>
      <c r="J107">
        <v>119.7</v>
      </c>
      <c r="K107">
        <v>127.9</v>
      </c>
    </row>
    <row r="108" spans="1:11" x14ac:dyDescent="0.35">
      <c r="A108" t="s">
        <v>14</v>
      </c>
      <c r="B108">
        <v>2015</v>
      </c>
      <c r="C108" t="s">
        <v>27</v>
      </c>
      <c r="D108">
        <v>130.67692310000001</v>
      </c>
      <c r="E108">
        <v>138.19999999999999</v>
      </c>
      <c r="F108">
        <v>123.1333333</v>
      </c>
      <c r="G108">
        <v>122.4</v>
      </c>
      <c r="H108">
        <v>116</v>
      </c>
      <c r="I108">
        <v>121</v>
      </c>
      <c r="J108">
        <v>117.08333330000001</v>
      </c>
      <c r="K108">
        <v>124</v>
      </c>
    </row>
    <row r="109" spans="1:11" x14ac:dyDescent="0.35">
      <c r="A109" t="s">
        <v>15</v>
      </c>
      <c r="B109">
        <v>2015</v>
      </c>
      <c r="C109" t="s">
        <v>27</v>
      </c>
      <c r="D109">
        <v>129.69999999999999</v>
      </c>
      <c r="E109">
        <v>134.5</v>
      </c>
      <c r="F109">
        <v>127.83333330000001</v>
      </c>
      <c r="G109">
        <v>122.4</v>
      </c>
      <c r="H109">
        <v>122</v>
      </c>
      <c r="I109">
        <v>123.6</v>
      </c>
      <c r="J109">
        <v>118.45</v>
      </c>
      <c r="K109">
        <v>126.1</v>
      </c>
    </row>
    <row r="110" spans="1:11" x14ac:dyDescent="0.35">
      <c r="A110" t="s">
        <v>11</v>
      </c>
      <c r="B110">
        <v>2016</v>
      </c>
      <c r="C110" t="s">
        <v>12</v>
      </c>
      <c r="D110">
        <v>130.0076923</v>
      </c>
      <c r="E110">
        <v>133.6</v>
      </c>
      <c r="F110">
        <v>131.56666670000001</v>
      </c>
      <c r="G110" t="str">
        <f>""</f>
        <v/>
      </c>
      <c r="H110">
        <v>126.2</v>
      </c>
      <c r="I110">
        <v>126.6</v>
      </c>
      <c r="J110">
        <v>119.9833333</v>
      </c>
      <c r="K110">
        <v>128.1</v>
      </c>
    </row>
    <row r="111" spans="1:11" x14ac:dyDescent="0.35">
      <c r="A111" t="s">
        <v>14</v>
      </c>
      <c r="B111">
        <v>2016</v>
      </c>
      <c r="C111" t="s">
        <v>12</v>
      </c>
      <c r="D111">
        <v>130.8769231</v>
      </c>
      <c r="E111">
        <v>139.5</v>
      </c>
      <c r="F111">
        <v>123.5</v>
      </c>
      <c r="G111">
        <v>123.4</v>
      </c>
      <c r="H111">
        <v>116.9</v>
      </c>
      <c r="I111">
        <v>121.6</v>
      </c>
      <c r="J111">
        <v>117.2833333</v>
      </c>
      <c r="K111">
        <v>124.2</v>
      </c>
    </row>
    <row r="112" spans="1:11" x14ac:dyDescent="0.35">
      <c r="A112" t="s">
        <v>15</v>
      </c>
      <c r="B112">
        <v>2016</v>
      </c>
      <c r="C112" t="s">
        <v>12</v>
      </c>
      <c r="D112">
        <v>130.1307692</v>
      </c>
      <c r="E112">
        <v>135.19999999999999</v>
      </c>
      <c r="F112">
        <v>128.30000000000001</v>
      </c>
      <c r="G112">
        <v>123.4</v>
      </c>
      <c r="H112">
        <v>122.7</v>
      </c>
      <c r="I112">
        <v>124.2</v>
      </c>
      <c r="J112">
        <v>118.7</v>
      </c>
      <c r="K112">
        <v>126.3</v>
      </c>
    </row>
    <row r="113" spans="1:11" x14ac:dyDescent="0.35">
      <c r="A113" t="s">
        <v>11</v>
      </c>
      <c r="B113">
        <v>2016</v>
      </c>
      <c r="C113" t="s">
        <v>16</v>
      </c>
      <c r="D113">
        <v>129.43076919999999</v>
      </c>
      <c r="E113">
        <v>134.4</v>
      </c>
      <c r="F113">
        <v>132.3666667</v>
      </c>
      <c r="G113" t="str">
        <f>""</f>
        <v/>
      </c>
      <c r="H113">
        <v>127.5</v>
      </c>
      <c r="I113">
        <v>127.1</v>
      </c>
      <c r="J113">
        <v>120.8833333</v>
      </c>
      <c r="K113">
        <v>127.9</v>
      </c>
    </row>
    <row r="114" spans="1:11" x14ac:dyDescent="0.35">
      <c r="A114" t="s">
        <v>14</v>
      </c>
      <c r="B114">
        <v>2016</v>
      </c>
      <c r="C114" t="s">
        <v>16</v>
      </c>
      <c r="D114">
        <v>128.93076919999999</v>
      </c>
      <c r="E114">
        <v>140</v>
      </c>
      <c r="F114">
        <v>123.8666667</v>
      </c>
      <c r="G114">
        <v>124.4</v>
      </c>
      <c r="H114">
        <v>116</v>
      </c>
      <c r="I114">
        <v>121.8</v>
      </c>
      <c r="J114">
        <v>117.85</v>
      </c>
      <c r="K114">
        <v>123.8</v>
      </c>
    </row>
    <row r="115" spans="1:11" x14ac:dyDescent="0.35">
      <c r="A115" t="s">
        <v>15</v>
      </c>
      <c r="B115">
        <v>2016</v>
      </c>
      <c r="C115" t="s">
        <v>16</v>
      </c>
      <c r="D115">
        <v>129.08461539999999</v>
      </c>
      <c r="E115">
        <v>135.9</v>
      </c>
      <c r="F115">
        <v>128.96666669999999</v>
      </c>
      <c r="G115">
        <v>124.4</v>
      </c>
      <c r="H115">
        <v>123.1</v>
      </c>
      <c r="I115">
        <v>124.6</v>
      </c>
      <c r="J115">
        <v>119.41666669999999</v>
      </c>
      <c r="K115">
        <v>126</v>
      </c>
    </row>
    <row r="116" spans="1:11" x14ac:dyDescent="0.35">
      <c r="A116" t="s">
        <v>11</v>
      </c>
      <c r="B116">
        <v>2016</v>
      </c>
      <c r="C116" t="s">
        <v>17</v>
      </c>
      <c r="D116">
        <v>129.43846149999999</v>
      </c>
      <c r="E116">
        <v>135</v>
      </c>
      <c r="F116">
        <v>132.80000000000001</v>
      </c>
      <c r="G116" t="str">
        <f>""</f>
        <v/>
      </c>
      <c r="H116">
        <v>127</v>
      </c>
      <c r="I116">
        <v>127.7</v>
      </c>
      <c r="J116">
        <v>121.15</v>
      </c>
      <c r="K116">
        <v>128</v>
      </c>
    </row>
    <row r="117" spans="1:11" x14ac:dyDescent="0.35">
      <c r="A117" t="s">
        <v>14</v>
      </c>
      <c r="B117">
        <v>2016</v>
      </c>
      <c r="C117" t="s">
        <v>17</v>
      </c>
      <c r="D117">
        <v>128.2769231</v>
      </c>
      <c r="E117">
        <v>140.6</v>
      </c>
      <c r="F117">
        <v>124.0666667</v>
      </c>
      <c r="G117">
        <v>124.9</v>
      </c>
      <c r="H117">
        <v>114.8</v>
      </c>
      <c r="I117">
        <v>122.3</v>
      </c>
      <c r="J117">
        <v>118.0166667</v>
      </c>
      <c r="K117">
        <v>123.8</v>
      </c>
    </row>
    <row r="118" spans="1:11" x14ac:dyDescent="0.35">
      <c r="A118" t="s">
        <v>15</v>
      </c>
      <c r="B118">
        <v>2016</v>
      </c>
      <c r="C118" t="s">
        <v>17</v>
      </c>
      <c r="D118">
        <v>128.86153849999999</v>
      </c>
      <c r="E118">
        <v>136.5</v>
      </c>
      <c r="F118">
        <v>129.30000000000001</v>
      </c>
      <c r="G118">
        <v>124.9</v>
      </c>
      <c r="H118">
        <v>122.4</v>
      </c>
      <c r="I118">
        <v>125.1</v>
      </c>
      <c r="J118">
        <v>119.65</v>
      </c>
      <c r="K118">
        <v>126</v>
      </c>
    </row>
    <row r="119" spans="1:11" x14ac:dyDescent="0.35">
      <c r="A119" t="s">
        <v>11</v>
      </c>
      <c r="B119">
        <v>2016</v>
      </c>
      <c r="C119" t="s">
        <v>18</v>
      </c>
      <c r="D119">
        <v>130.8923077</v>
      </c>
      <c r="E119">
        <v>135.5</v>
      </c>
      <c r="F119">
        <v>133.33333329999999</v>
      </c>
      <c r="G119" t="str">
        <f>""</f>
        <v/>
      </c>
      <c r="H119">
        <v>127</v>
      </c>
      <c r="I119">
        <v>128</v>
      </c>
      <c r="J119">
        <v>121.8</v>
      </c>
      <c r="K119">
        <v>129</v>
      </c>
    </row>
    <row r="120" spans="1:11" x14ac:dyDescent="0.35">
      <c r="A120" t="s">
        <v>14</v>
      </c>
      <c r="B120">
        <v>2016</v>
      </c>
      <c r="C120" t="s">
        <v>18</v>
      </c>
      <c r="D120">
        <v>131.2538462</v>
      </c>
      <c r="E120">
        <v>141.5</v>
      </c>
      <c r="F120">
        <v>124.3666667</v>
      </c>
      <c r="G120">
        <v>125.6</v>
      </c>
      <c r="H120">
        <v>114.6</v>
      </c>
      <c r="I120">
        <v>122.8</v>
      </c>
      <c r="J120">
        <v>118.8166667</v>
      </c>
      <c r="K120">
        <v>125.3</v>
      </c>
    </row>
    <row r="121" spans="1:11" x14ac:dyDescent="0.35">
      <c r="A121" t="s">
        <v>15</v>
      </c>
      <c r="B121">
        <v>2016</v>
      </c>
      <c r="C121" t="s">
        <v>18</v>
      </c>
      <c r="D121">
        <v>130.8692308</v>
      </c>
      <c r="E121">
        <v>137.1</v>
      </c>
      <c r="F121">
        <v>129.7333333</v>
      </c>
      <c r="G121">
        <v>125.6</v>
      </c>
      <c r="H121">
        <v>122.3</v>
      </c>
      <c r="I121">
        <v>125.5</v>
      </c>
      <c r="J121">
        <v>120.3666667</v>
      </c>
      <c r="K121">
        <v>127.3</v>
      </c>
    </row>
    <row r="122" spans="1:11" x14ac:dyDescent="0.35">
      <c r="A122" t="s">
        <v>11</v>
      </c>
      <c r="B122">
        <v>2016</v>
      </c>
      <c r="C122" t="s">
        <v>19</v>
      </c>
      <c r="D122">
        <v>132.59230769999999</v>
      </c>
      <c r="E122">
        <v>136</v>
      </c>
      <c r="F122">
        <v>133.7666667</v>
      </c>
      <c r="G122" t="str">
        <f>""</f>
        <v/>
      </c>
      <c r="H122">
        <v>127.4</v>
      </c>
      <c r="I122">
        <v>128.5</v>
      </c>
      <c r="J122">
        <v>122.6333333</v>
      </c>
      <c r="K122">
        <v>130.30000000000001</v>
      </c>
    </row>
    <row r="123" spans="1:11" x14ac:dyDescent="0.35">
      <c r="A123" t="s">
        <v>14</v>
      </c>
      <c r="B123">
        <v>2016</v>
      </c>
      <c r="C123" t="s">
        <v>19</v>
      </c>
      <c r="D123">
        <v>134.3692308</v>
      </c>
      <c r="E123">
        <v>142.19999999999999</v>
      </c>
      <c r="F123">
        <v>124.7</v>
      </c>
      <c r="G123">
        <v>126</v>
      </c>
      <c r="H123">
        <v>115</v>
      </c>
      <c r="I123">
        <v>123.2</v>
      </c>
      <c r="J123">
        <v>119.33333330000001</v>
      </c>
      <c r="K123">
        <v>126.6</v>
      </c>
    </row>
    <row r="124" spans="1:11" x14ac:dyDescent="0.35">
      <c r="A124" t="s">
        <v>15</v>
      </c>
      <c r="B124">
        <v>2016</v>
      </c>
      <c r="C124" t="s">
        <v>19</v>
      </c>
      <c r="D124">
        <v>133.1076923</v>
      </c>
      <c r="E124">
        <v>137.69999999999999</v>
      </c>
      <c r="F124">
        <v>130.1333333</v>
      </c>
      <c r="G124">
        <v>126</v>
      </c>
      <c r="H124">
        <v>122.7</v>
      </c>
      <c r="I124">
        <v>126</v>
      </c>
      <c r="J124">
        <v>121.0666667</v>
      </c>
      <c r="K124">
        <v>128.6</v>
      </c>
    </row>
    <row r="125" spans="1:11" x14ac:dyDescent="0.35">
      <c r="A125" t="s">
        <v>11</v>
      </c>
      <c r="B125">
        <v>2016</v>
      </c>
      <c r="C125" t="s">
        <v>20</v>
      </c>
      <c r="D125">
        <v>134.5076923</v>
      </c>
      <c r="E125">
        <v>137.19999999999999</v>
      </c>
      <c r="F125">
        <v>134.5</v>
      </c>
      <c r="G125" t="str">
        <f>""</f>
        <v/>
      </c>
      <c r="H125">
        <v>128</v>
      </c>
      <c r="I125">
        <v>129.30000000000001</v>
      </c>
      <c r="J125">
        <v>123.33333330000001</v>
      </c>
      <c r="K125">
        <v>131.9</v>
      </c>
    </row>
    <row r="126" spans="1:11" x14ac:dyDescent="0.35">
      <c r="A126" t="s">
        <v>14</v>
      </c>
      <c r="B126">
        <v>2016</v>
      </c>
      <c r="C126" t="s">
        <v>20</v>
      </c>
      <c r="D126">
        <v>137.46153849999999</v>
      </c>
      <c r="E126">
        <v>142.69999999999999</v>
      </c>
      <c r="F126">
        <v>125.1</v>
      </c>
      <c r="G126">
        <v>125.5</v>
      </c>
      <c r="H126">
        <v>115.5</v>
      </c>
      <c r="I126">
        <v>123.2</v>
      </c>
      <c r="J126">
        <v>120.08333330000001</v>
      </c>
      <c r="K126">
        <v>128.1</v>
      </c>
    </row>
    <row r="127" spans="1:11" x14ac:dyDescent="0.35">
      <c r="A127" t="s">
        <v>15</v>
      </c>
      <c r="B127">
        <v>2016</v>
      </c>
      <c r="C127" t="s">
        <v>20</v>
      </c>
      <c r="D127">
        <v>135.43076919999999</v>
      </c>
      <c r="E127">
        <v>138.69999999999999</v>
      </c>
      <c r="F127">
        <v>130.69999999999999</v>
      </c>
      <c r="G127">
        <v>125.5</v>
      </c>
      <c r="H127">
        <v>123.3</v>
      </c>
      <c r="I127">
        <v>126.4</v>
      </c>
      <c r="J127">
        <v>121.7666667</v>
      </c>
      <c r="K127">
        <v>130.1</v>
      </c>
    </row>
    <row r="128" spans="1:11" x14ac:dyDescent="0.35">
      <c r="A128" t="s">
        <v>11</v>
      </c>
      <c r="B128">
        <v>2016</v>
      </c>
      <c r="C128" t="s">
        <v>21</v>
      </c>
      <c r="D128">
        <v>136.17692310000001</v>
      </c>
      <c r="E128">
        <v>138</v>
      </c>
      <c r="F128">
        <v>135.30000000000001</v>
      </c>
      <c r="G128" t="str">
        <f>""</f>
        <v/>
      </c>
      <c r="H128">
        <v>128.19999999999999</v>
      </c>
      <c r="I128">
        <v>130</v>
      </c>
      <c r="J128">
        <v>123.9666667</v>
      </c>
      <c r="K128">
        <v>133</v>
      </c>
    </row>
    <row r="129" spans="1:11" x14ac:dyDescent="0.35">
      <c r="A129" t="s">
        <v>14</v>
      </c>
      <c r="B129">
        <v>2016</v>
      </c>
      <c r="C129" t="s">
        <v>21</v>
      </c>
      <c r="D129">
        <v>139.3461538</v>
      </c>
      <c r="E129">
        <v>142.9</v>
      </c>
      <c r="F129">
        <v>125.3</v>
      </c>
      <c r="G129">
        <v>126.4</v>
      </c>
      <c r="H129">
        <v>115.5</v>
      </c>
      <c r="I129">
        <v>123.5</v>
      </c>
      <c r="J129">
        <v>120.6</v>
      </c>
      <c r="K129">
        <v>129</v>
      </c>
    </row>
    <row r="130" spans="1:11" x14ac:dyDescent="0.35">
      <c r="A130" t="s">
        <v>15</v>
      </c>
      <c r="B130">
        <v>2016</v>
      </c>
      <c r="C130" t="s">
        <v>21</v>
      </c>
      <c r="D130">
        <v>137.19230769999999</v>
      </c>
      <c r="E130">
        <v>139.30000000000001</v>
      </c>
      <c r="F130">
        <v>131.2666667</v>
      </c>
      <c r="G130">
        <v>126.4</v>
      </c>
      <c r="H130">
        <v>123.4</v>
      </c>
      <c r="I130">
        <v>126.9</v>
      </c>
      <c r="J130">
        <v>122.33333330000001</v>
      </c>
      <c r="K130">
        <v>131.1</v>
      </c>
    </row>
    <row r="131" spans="1:11" x14ac:dyDescent="0.35">
      <c r="A131" t="s">
        <v>11</v>
      </c>
      <c r="B131">
        <v>2016</v>
      </c>
      <c r="C131" t="s">
        <v>22</v>
      </c>
      <c r="D131">
        <v>136.7307692</v>
      </c>
      <c r="E131">
        <v>138.9</v>
      </c>
      <c r="F131">
        <v>135.96666669999999</v>
      </c>
      <c r="G131" t="str">
        <f>""</f>
        <v/>
      </c>
      <c r="H131">
        <v>129.1</v>
      </c>
      <c r="I131">
        <v>130.6</v>
      </c>
      <c r="J131">
        <v>124.4333333</v>
      </c>
      <c r="K131">
        <v>133.5</v>
      </c>
    </row>
    <row r="132" spans="1:11" x14ac:dyDescent="0.35">
      <c r="A132" t="s">
        <v>14</v>
      </c>
      <c r="B132">
        <v>2016</v>
      </c>
      <c r="C132" t="s">
        <v>22</v>
      </c>
      <c r="D132">
        <v>137.2307692</v>
      </c>
      <c r="E132">
        <v>143.6</v>
      </c>
      <c r="F132">
        <v>125.66666669999999</v>
      </c>
      <c r="G132">
        <v>127.3</v>
      </c>
      <c r="H132">
        <v>114.7</v>
      </c>
      <c r="I132">
        <v>123.9</v>
      </c>
      <c r="J132">
        <v>120.75</v>
      </c>
      <c r="K132">
        <v>128.4</v>
      </c>
    </row>
    <row r="133" spans="1:11" x14ac:dyDescent="0.35">
      <c r="A133" t="s">
        <v>15</v>
      </c>
      <c r="B133">
        <v>2016</v>
      </c>
      <c r="C133" t="s">
        <v>22</v>
      </c>
      <c r="D133">
        <v>136.7615385</v>
      </c>
      <c r="E133">
        <v>140.19999999999999</v>
      </c>
      <c r="F133">
        <v>131.83333329999999</v>
      </c>
      <c r="G133">
        <v>127.3</v>
      </c>
      <c r="H133">
        <v>123.6</v>
      </c>
      <c r="I133">
        <v>127.4</v>
      </c>
      <c r="J133">
        <v>122.65</v>
      </c>
      <c r="K133">
        <v>131.1</v>
      </c>
    </row>
    <row r="134" spans="1:11" x14ac:dyDescent="0.35">
      <c r="A134" t="s">
        <v>11</v>
      </c>
      <c r="B134">
        <v>2016</v>
      </c>
      <c r="C134" t="s">
        <v>23</v>
      </c>
      <c r="D134">
        <v>136.20769229999999</v>
      </c>
      <c r="E134">
        <v>139.9</v>
      </c>
      <c r="F134">
        <v>136.6</v>
      </c>
      <c r="G134" t="str">
        <f>""</f>
        <v/>
      </c>
      <c r="H134">
        <v>129.69999999999999</v>
      </c>
      <c r="I134">
        <v>131.1</v>
      </c>
      <c r="J134">
        <v>125.0666667</v>
      </c>
      <c r="K134">
        <v>133.4</v>
      </c>
    </row>
    <row r="135" spans="1:11" x14ac:dyDescent="0.35">
      <c r="A135" t="s">
        <v>14</v>
      </c>
      <c r="B135">
        <v>2016</v>
      </c>
      <c r="C135" t="s">
        <v>23</v>
      </c>
      <c r="D135">
        <v>135.1076923</v>
      </c>
      <c r="E135">
        <v>143.9</v>
      </c>
      <c r="F135">
        <v>126</v>
      </c>
      <c r="G135">
        <v>127.9</v>
      </c>
      <c r="H135">
        <v>114.8</v>
      </c>
      <c r="I135">
        <v>124.3</v>
      </c>
      <c r="J135">
        <v>121.2166667</v>
      </c>
      <c r="K135">
        <v>128</v>
      </c>
    </row>
    <row r="136" spans="1:11" x14ac:dyDescent="0.35">
      <c r="A136" t="s">
        <v>15</v>
      </c>
      <c r="B136">
        <v>2016</v>
      </c>
      <c r="C136" t="s">
        <v>23</v>
      </c>
      <c r="D136">
        <v>135.66923080000001</v>
      </c>
      <c r="E136">
        <v>141</v>
      </c>
      <c r="F136">
        <v>132.33333329999999</v>
      </c>
      <c r="G136">
        <v>127.9</v>
      </c>
      <c r="H136">
        <v>124.1</v>
      </c>
      <c r="I136">
        <v>127.9</v>
      </c>
      <c r="J136">
        <v>123.2166667</v>
      </c>
      <c r="K136">
        <v>130.9</v>
      </c>
    </row>
    <row r="137" spans="1:11" x14ac:dyDescent="0.35">
      <c r="A137" t="s">
        <v>11</v>
      </c>
      <c r="B137">
        <v>2016</v>
      </c>
      <c r="C137" t="s">
        <v>24</v>
      </c>
      <c r="D137">
        <v>136.29230770000001</v>
      </c>
      <c r="E137">
        <v>140.9</v>
      </c>
      <c r="F137">
        <v>137.56666670000001</v>
      </c>
      <c r="G137" t="str">
        <f>""</f>
        <v/>
      </c>
      <c r="H137">
        <v>129.80000000000001</v>
      </c>
      <c r="I137">
        <v>131.80000000000001</v>
      </c>
      <c r="J137">
        <v>125.7833333</v>
      </c>
      <c r="K137">
        <v>133.80000000000001</v>
      </c>
    </row>
    <row r="138" spans="1:11" x14ac:dyDescent="0.35">
      <c r="A138" t="s">
        <v>14</v>
      </c>
      <c r="B138">
        <v>2016</v>
      </c>
      <c r="C138" t="s">
        <v>24</v>
      </c>
      <c r="D138">
        <v>135.6076923</v>
      </c>
      <c r="E138">
        <v>144.30000000000001</v>
      </c>
      <c r="F138">
        <v>126.33333330000001</v>
      </c>
      <c r="G138">
        <v>128.69999999999999</v>
      </c>
      <c r="H138">
        <v>115.2</v>
      </c>
      <c r="I138">
        <v>124.5</v>
      </c>
      <c r="J138">
        <v>121.5666667</v>
      </c>
      <c r="K138">
        <v>128.6</v>
      </c>
    </row>
    <row r="139" spans="1:11" x14ac:dyDescent="0.35">
      <c r="A139" t="s">
        <v>15</v>
      </c>
      <c r="B139">
        <v>2016</v>
      </c>
      <c r="C139" t="s">
        <v>24</v>
      </c>
      <c r="D139">
        <v>135.90769230000001</v>
      </c>
      <c r="E139">
        <v>141.80000000000001</v>
      </c>
      <c r="F139">
        <v>133.03333330000001</v>
      </c>
      <c r="G139">
        <v>128.69999999999999</v>
      </c>
      <c r="H139">
        <v>124.3</v>
      </c>
      <c r="I139">
        <v>128.4</v>
      </c>
      <c r="J139">
        <v>123.7833333</v>
      </c>
      <c r="K139">
        <v>131.4</v>
      </c>
    </row>
    <row r="140" spans="1:11" x14ac:dyDescent="0.35">
      <c r="A140" t="s">
        <v>11</v>
      </c>
      <c r="B140">
        <v>2016</v>
      </c>
      <c r="C140" t="s">
        <v>26</v>
      </c>
      <c r="D140">
        <v>135.7384615</v>
      </c>
      <c r="E140">
        <v>141.19999999999999</v>
      </c>
      <c r="F140">
        <v>137.8666667</v>
      </c>
      <c r="G140" t="str">
        <f>""</f>
        <v/>
      </c>
      <c r="H140">
        <v>130.30000000000001</v>
      </c>
      <c r="I140">
        <v>132.1</v>
      </c>
      <c r="J140">
        <v>126.25</v>
      </c>
      <c r="K140">
        <v>133.6</v>
      </c>
    </row>
    <row r="141" spans="1:11" x14ac:dyDescent="0.35">
      <c r="A141" t="s">
        <v>14</v>
      </c>
      <c r="B141">
        <v>2016</v>
      </c>
      <c r="C141" t="s">
        <v>26</v>
      </c>
      <c r="D141">
        <v>135.0153846</v>
      </c>
      <c r="E141">
        <v>144.30000000000001</v>
      </c>
      <c r="F141">
        <v>126.7333333</v>
      </c>
      <c r="G141">
        <v>129.1</v>
      </c>
      <c r="H141">
        <v>116.2</v>
      </c>
      <c r="I141">
        <v>124.7</v>
      </c>
      <c r="J141">
        <v>121.9833333</v>
      </c>
      <c r="K141">
        <v>128.5</v>
      </c>
    </row>
    <row r="142" spans="1:11" x14ac:dyDescent="0.35">
      <c r="A142" t="s">
        <v>15</v>
      </c>
      <c r="B142">
        <v>2016</v>
      </c>
      <c r="C142" t="s">
        <v>26</v>
      </c>
      <c r="D142">
        <v>135.3692308</v>
      </c>
      <c r="E142">
        <v>142</v>
      </c>
      <c r="F142">
        <v>133.3666667</v>
      </c>
      <c r="G142">
        <v>129.1</v>
      </c>
      <c r="H142">
        <v>125</v>
      </c>
      <c r="I142">
        <v>128.6</v>
      </c>
      <c r="J142">
        <v>124.2166667</v>
      </c>
      <c r="K142">
        <v>131.19999999999999</v>
      </c>
    </row>
    <row r="143" spans="1:11" x14ac:dyDescent="0.35">
      <c r="A143" t="s">
        <v>11</v>
      </c>
      <c r="B143">
        <v>2016</v>
      </c>
      <c r="C143" t="s">
        <v>27</v>
      </c>
      <c r="D143">
        <v>134.54615380000001</v>
      </c>
      <c r="E143">
        <v>142.4</v>
      </c>
      <c r="F143">
        <v>138.43333329999999</v>
      </c>
      <c r="G143" t="str">
        <f>""</f>
        <v/>
      </c>
      <c r="H143">
        <v>132</v>
      </c>
      <c r="I143">
        <v>132.9</v>
      </c>
      <c r="J143">
        <v>126.33333330000001</v>
      </c>
      <c r="K143">
        <v>132.80000000000001</v>
      </c>
    </row>
    <row r="144" spans="1:11" x14ac:dyDescent="0.35">
      <c r="A144" t="s">
        <v>14</v>
      </c>
      <c r="B144">
        <v>2016</v>
      </c>
      <c r="C144" t="s">
        <v>27</v>
      </c>
      <c r="D144">
        <v>133.06153850000001</v>
      </c>
      <c r="E144">
        <v>145</v>
      </c>
      <c r="F144">
        <v>127</v>
      </c>
      <c r="G144">
        <v>128.5</v>
      </c>
      <c r="H144">
        <v>117.8</v>
      </c>
      <c r="I144">
        <v>125</v>
      </c>
      <c r="J144">
        <v>121.9</v>
      </c>
      <c r="K144">
        <v>127.6</v>
      </c>
    </row>
    <row r="145" spans="1:11" x14ac:dyDescent="0.35">
      <c r="A145" t="s">
        <v>15</v>
      </c>
      <c r="B145">
        <v>2016</v>
      </c>
      <c r="C145" t="s">
        <v>27</v>
      </c>
      <c r="D145">
        <v>133.9</v>
      </c>
      <c r="E145">
        <v>143.1</v>
      </c>
      <c r="F145">
        <v>133.83333329999999</v>
      </c>
      <c r="G145">
        <v>128.5</v>
      </c>
      <c r="H145">
        <v>126.6</v>
      </c>
      <c r="I145">
        <v>129.19999999999999</v>
      </c>
      <c r="J145">
        <v>124.2</v>
      </c>
      <c r="K145">
        <v>130.4</v>
      </c>
    </row>
    <row r="146" spans="1:11" x14ac:dyDescent="0.35">
      <c r="A146" t="s">
        <v>11</v>
      </c>
      <c r="B146">
        <v>2017</v>
      </c>
      <c r="C146" t="s">
        <v>12</v>
      </c>
      <c r="D146">
        <v>133.63846150000001</v>
      </c>
      <c r="E146">
        <v>143.1</v>
      </c>
      <c r="F146">
        <v>138.83333329999999</v>
      </c>
      <c r="G146" t="str">
        <f>""</f>
        <v/>
      </c>
      <c r="H146">
        <v>132.1</v>
      </c>
      <c r="I146">
        <v>133.19999999999999</v>
      </c>
      <c r="J146">
        <v>126.58333330000001</v>
      </c>
      <c r="K146">
        <v>132.4</v>
      </c>
    </row>
    <row r="147" spans="1:11" x14ac:dyDescent="0.35">
      <c r="A147" t="s">
        <v>14</v>
      </c>
      <c r="B147">
        <v>2017</v>
      </c>
      <c r="C147" t="s">
        <v>12</v>
      </c>
      <c r="D147">
        <v>131.78461540000001</v>
      </c>
      <c r="E147">
        <v>145.6</v>
      </c>
      <c r="F147">
        <v>127.16666669999999</v>
      </c>
      <c r="G147">
        <v>129.6</v>
      </c>
      <c r="H147">
        <v>118</v>
      </c>
      <c r="I147">
        <v>125.1</v>
      </c>
      <c r="J147">
        <v>122.5333333</v>
      </c>
      <c r="K147">
        <v>127.8</v>
      </c>
    </row>
    <row r="148" spans="1:11" x14ac:dyDescent="0.35">
      <c r="A148" t="s">
        <v>15</v>
      </c>
      <c r="B148">
        <v>2017</v>
      </c>
      <c r="C148" t="s">
        <v>12</v>
      </c>
      <c r="D148">
        <v>132.8692308</v>
      </c>
      <c r="E148">
        <v>143.80000000000001</v>
      </c>
      <c r="F148">
        <v>134.1333333</v>
      </c>
      <c r="G148">
        <v>129.6</v>
      </c>
      <c r="H148">
        <v>126.8</v>
      </c>
      <c r="I148">
        <v>129.4</v>
      </c>
      <c r="J148">
        <v>124.6166667</v>
      </c>
      <c r="K148">
        <v>130.30000000000001</v>
      </c>
    </row>
    <row r="149" spans="1:11" x14ac:dyDescent="0.35">
      <c r="A149" t="s">
        <v>11</v>
      </c>
      <c r="B149">
        <v>2017</v>
      </c>
      <c r="C149" t="s">
        <v>16</v>
      </c>
      <c r="D149">
        <v>133.42307690000001</v>
      </c>
      <c r="E149">
        <v>143.69999999999999</v>
      </c>
      <c r="F149">
        <v>138.96666669999999</v>
      </c>
      <c r="G149" t="str">
        <f>""</f>
        <v/>
      </c>
      <c r="H149">
        <v>133.19999999999999</v>
      </c>
      <c r="I149">
        <v>133.6</v>
      </c>
      <c r="J149">
        <v>127.0666667</v>
      </c>
      <c r="K149">
        <v>132.6</v>
      </c>
    </row>
    <row r="150" spans="1:11" x14ac:dyDescent="0.35">
      <c r="A150" t="s">
        <v>14</v>
      </c>
      <c r="B150">
        <v>2017</v>
      </c>
      <c r="C150" t="s">
        <v>16</v>
      </c>
      <c r="D150">
        <v>131.17692310000001</v>
      </c>
      <c r="E150">
        <v>146.30000000000001</v>
      </c>
      <c r="F150">
        <v>127.4333333</v>
      </c>
      <c r="G150">
        <v>130.5</v>
      </c>
      <c r="H150">
        <v>119.2</v>
      </c>
      <c r="I150">
        <v>125.3</v>
      </c>
      <c r="J150">
        <v>122.85</v>
      </c>
      <c r="K150">
        <v>128.19999999999999</v>
      </c>
    </row>
    <row r="151" spans="1:11" x14ac:dyDescent="0.35">
      <c r="A151" t="s">
        <v>15</v>
      </c>
      <c r="B151">
        <v>2017</v>
      </c>
      <c r="C151" t="s">
        <v>16</v>
      </c>
      <c r="D151">
        <v>132.4846154</v>
      </c>
      <c r="E151">
        <v>144.4</v>
      </c>
      <c r="F151">
        <v>134.33333329999999</v>
      </c>
      <c r="G151">
        <v>130.5</v>
      </c>
      <c r="H151">
        <v>127.9</v>
      </c>
      <c r="I151">
        <v>129.69999999999999</v>
      </c>
      <c r="J151">
        <v>125.0333333</v>
      </c>
      <c r="K151">
        <v>130.6</v>
      </c>
    </row>
    <row r="152" spans="1:11" x14ac:dyDescent="0.35">
      <c r="A152" t="s">
        <v>11</v>
      </c>
      <c r="B152">
        <v>2017</v>
      </c>
      <c r="C152" t="s">
        <v>17</v>
      </c>
      <c r="D152">
        <v>132.96153849999999</v>
      </c>
      <c r="E152">
        <v>144.19999999999999</v>
      </c>
      <c r="F152">
        <v>139.53333330000001</v>
      </c>
      <c r="G152" t="str">
        <f>""</f>
        <v/>
      </c>
      <c r="H152">
        <v>134.19999999999999</v>
      </c>
      <c r="I152">
        <v>134.1</v>
      </c>
      <c r="J152">
        <v>127.4333333</v>
      </c>
      <c r="K152">
        <v>132.80000000000001</v>
      </c>
    </row>
    <row r="153" spans="1:11" x14ac:dyDescent="0.35">
      <c r="A153" t="s">
        <v>14</v>
      </c>
      <c r="B153">
        <v>2017</v>
      </c>
      <c r="C153" t="s">
        <v>17</v>
      </c>
      <c r="D153">
        <v>131.20769229999999</v>
      </c>
      <c r="E153">
        <v>147.5</v>
      </c>
      <c r="F153">
        <v>127.7333333</v>
      </c>
      <c r="G153">
        <v>131.1</v>
      </c>
      <c r="H153">
        <v>120.8</v>
      </c>
      <c r="I153">
        <v>125.6</v>
      </c>
      <c r="J153">
        <v>123.0333333</v>
      </c>
      <c r="K153">
        <v>128.69999999999999</v>
      </c>
    </row>
    <row r="154" spans="1:11" x14ac:dyDescent="0.35">
      <c r="A154" t="s">
        <v>15</v>
      </c>
      <c r="B154">
        <v>2017</v>
      </c>
      <c r="C154" t="s">
        <v>17</v>
      </c>
      <c r="D154">
        <v>132.2230769</v>
      </c>
      <c r="E154">
        <v>145.1</v>
      </c>
      <c r="F154">
        <v>134.7666667</v>
      </c>
      <c r="G154">
        <v>131.1</v>
      </c>
      <c r="H154">
        <v>129.1</v>
      </c>
      <c r="I154">
        <v>130.1</v>
      </c>
      <c r="J154">
        <v>125.3166667</v>
      </c>
      <c r="K154">
        <v>130.9</v>
      </c>
    </row>
    <row r="155" spans="1:11" x14ac:dyDescent="0.35">
      <c r="A155" t="s">
        <v>11</v>
      </c>
      <c r="B155">
        <v>2017</v>
      </c>
      <c r="C155" t="s">
        <v>18</v>
      </c>
      <c r="D155">
        <v>132.79230770000001</v>
      </c>
      <c r="E155">
        <v>144.4</v>
      </c>
      <c r="F155">
        <v>140.2666667</v>
      </c>
      <c r="G155" t="str">
        <f>""</f>
        <v/>
      </c>
      <c r="H155">
        <v>135</v>
      </c>
      <c r="I155">
        <v>134.30000000000001</v>
      </c>
      <c r="J155">
        <v>127.5666667</v>
      </c>
      <c r="K155">
        <v>132.9</v>
      </c>
    </row>
    <row r="156" spans="1:11" x14ac:dyDescent="0.35">
      <c r="A156" t="s">
        <v>14</v>
      </c>
      <c r="B156">
        <v>2017</v>
      </c>
      <c r="C156" t="s">
        <v>18</v>
      </c>
      <c r="D156">
        <v>131.3923077</v>
      </c>
      <c r="E156">
        <v>148</v>
      </c>
      <c r="F156">
        <v>128.06666670000001</v>
      </c>
      <c r="G156">
        <v>131.69999999999999</v>
      </c>
      <c r="H156">
        <v>121.4</v>
      </c>
      <c r="I156">
        <v>126</v>
      </c>
      <c r="J156">
        <v>123.1</v>
      </c>
      <c r="K156">
        <v>129.1</v>
      </c>
    </row>
    <row r="157" spans="1:11" x14ac:dyDescent="0.35">
      <c r="A157" t="s">
        <v>15</v>
      </c>
      <c r="B157">
        <v>2017</v>
      </c>
      <c r="C157" t="s">
        <v>18</v>
      </c>
      <c r="D157">
        <v>132.18461540000001</v>
      </c>
      <c r="E157">
        <v>145.4</v>
      </c>
      <c r="F157">
        <v>135.3666667</v>
      </c>
      <c r="G157">
        <v>131.69999999999999</v>
      </c>
      <c r="H157">
        <v>129.80000000000001</v>
      </c>
      <c r="I157">
        <v>130.4</v>
      </c>
      <c r="J157">
        <v>125.41666669999999</v>
      </c>
      <c r="K157">
        <v>131.1</v>
      </c>
    </row>
    <row r="158" spans="1:11" x14ac:dyDescent="0.35">
      <c r="A158" t="s">
        <v>11</v>
      </c>
      <c r="B158">
        <v>2017</v>
      </c>
      <c r="C158" t="s">
        <v>19</v>
      </c>
      <c r="D158">
        <v>132.8846154</v>
      </c>
      <c r="E158">
        <v>145.5</v>
      </c>
      <c r="F158">
        <v>140.53333330000001</v>
      </c>
      <c r="G158" t="str">
        <f>""</f>
        <v/>
      </c>
      <c r="H158">
        <v>135</v>
      </c>
      <c r="I158">
        <v>134.9</v>
      </c>
      <c r="J158">
        <v>128.0166667</v>
      </c>
      <c r="K158">
        <v>133.30000000000001</v>
      </c>
    </row>
    <row r="159" spans="1:11" x14ac:dyDescent="0.35">
      <c r="A159" t="s">
        <v>14</v>
      </c>
      <c r="B159">
        <v>2017</v>
      </c>
      <c r="C159" t="s">
        <v>19</v>
      </c>
      <c r="D159">
        <v>131.5076923</v>
      </c>
      <c r="E159">
        <v>148.30000000000001</v>
      </c>
      <c r="F159">
        <v>128.30000000000001</v>
      </c>
      <c r="G159">
        <v>132.1</v>
      </c>
      <c r="H159">
        <v>120.1</v>
      </c>
      <c r="I159">
        <v>126.5</v>
      </c>
      <c r="J159">
        <v>123.1833333</v>
      </c>
      <c r="K159">
        <v>129.30000000000001</v>
      </c>
    </row>
    <row r="160" spans="1:11" x14ac:dyDescent="0.35">
      <c r="A160" t="s">
        <v>15</v>
      </c>
      <c r="B160">
        <v>2017</v>
      </c>
      <c r="C160" t="s">
        <v>19</v>
      </c>
      <c r="D160">
        <v>132.2769231</v>
      </c>
      <c r="E160">
        <v>146.19999999999999</v>
      </c>
      <c r="F160">
        <v>135.6</v>
      </c>
      <c r="G160">
        <v>132.1</v>
      </c>
      <c r="H160">
        <v>129.4</v>
      </c>
      <c r="I160">
        <v>130.9</v>
      </c>
      <c r="J160">
        <v>125.65</v>
      </c>
      <c r="K160">
        <v>131.4</v>
      </c>
    </row>
    <row r="161" spans="1:11" x14ac:dyDescent="0.35">
      <c r="A161" t="s">
        <v>11</v>
      </c>
      <c r="B161">
        <v>2017</v>
      </c>
      <c r="C161" t="s">
        <v>20</v>
      </c>
      <c r="D161">
        <v>133.7538462</v>
      </c>
      <c r="E161">
        <v>145.80000000000001</v>
      </c>
      <c r="F161">
        <v>141.03333330000001</v>
      </c>
      <c r="G161" t="str">
        <f>""</f>
        <v/>
      </c>
      <c r="H161">
        <v>134.80000000000001</v>
      </c>
      <c r="I161">
        <v>135.19999999999999</v>
      </c>
      <c r="J161">
        <v>128.2666667</v>
      </c>
      <c r="K161">
        <v>133.9</v>
      </c>
    </row>
    <row r="162" spans="1:11" x14ac:dyDescent="0.35">
      <c r="A162" t="s">
        <v>14</v>
      </c>
      <c r="B162">
        <v>2017</v>
      </c>
      <c r="C162" t="s">
        <v>20</v>
      </c>
      <c r="D162">
        <v>133.1538462</v>
      </c>
      <c r="E162">
        <v>148.6</v>
      </c>
      <c r="F162">
        <v>128.30000000000001</v>
      </c>
      <c r="G162">
        <v>131.4</v>
      </c>
      <c r="H162">
        <v>119</v>
      </c>
      <c r="I162">
        <v>126.8</v>
      </c>
      <c r="J162">
        <v>123.35</v>
      </c>
      <c r="K162">
        <v>129.9</v>
      </c>
    </row>
    <row r="163" spans="1:11" x14ac:dyDescent="0.35">
      <c r="A163" t="s">
        <v>15</v>
      </c>
      <c r="B163">
        <v>2017</v>
      </c>
      <c r="C163" t="s">
        <v>20</v>
      </c>
      <c r="D163">
        <v>133.43846149999999</v>
      </c>
      <c r="E163">
        <v>146.5</v>
      </c>
      <c r="F163">
        <v>135.9</v>
      </c>
      <c r="G163">
        <v>131.4</v>
      </c>
      <c r="H163">
        <v>128.80000000000001</v>
      </c>
      <c r="I163">
        <v>131.19999999999999</v>
      </c>
      <c r="J163">
        <v>125.8666667</v>
      </c>
      <c r="K163">
        <v>132</v>
      </c>
    </row>
    <row r="164" spans="1:11" x14ac:dyDescent="0.35">
      <c r="A164" t="s">
        <v>11</v>
      </c>
      <c r="B164">
        <v>2017</v>
      </c>
      <c r="C164" t="s">
        <v>21</v>
      </c>
      <c r="D164">
        <v>136.3769231</v>
      </c>
      <c r="E164">
        <v>147.4</v>
      </c>
      <c r="F164">
        <v>141.96666669999999</v>
      </c>
      <c r="G164" t="str">
        <f>""</f>
        <v/>
      </c>
      <c r="H164">
        <v>135.30000000000001</v>
      </c>
      <c r="I164">
        <v>136.1</v>
      </c>
      <c r="J164">
        <v>128.9</v>
      </c>
      <c r="K164">
        <v>136.19999999999999</v>
      </c>
    </row>
    <row r="165" spans="1:11" x14ac:dyDescent="0.35">
      <c r="A165" t="s">
        <v>14</v>
      </c>
      <c r="B165">
        <v>2017</v>
      </c>
      <c r="C165" t="s">
        <v>21</v>
      </c>
      <c r="D165">
        <v>136.0076923</v>
      </c>
      <c r="E165">
        <v>150.5</v>
      </c>
      <c r="F165">
        <v>128.56666670000001</v>
      </c>
      <c r="G165">
        <v>132.6</v>
      </c>
      <c r="H165">
        <v>119.7</v>
      </c>
      <c r="I165">
        <v>127.2</v>
      </c>
      <c r="J165">
        <v>123.7666667</v>
      </c>
      <c r="K165">
        <v>131.80000000000001</v>
      </c>
    </row>
    <row r="166" spans="1:11" x14ac:dyDescent="0.35">
      <c r="A166" t="s">
        <v>15</v>
      </c>
      <c r="B166">
        <v>2017</v>
      </c>
      <c r="C166" t="s">
        <v>21</v>
      </c>
      <c r="D166">
        <v>136.1076923</v>
      </c>
      <c r="E166">
        <v>148.19999999999999</v>
      </c>
      <c r="F166">
        <v>136.56666670000001</v>
      </c>
      <c r="G166">
        <v>132.6</v>
      </c>
      <c r="H166">
        <v>129.4</v>
      </c>
      <c r="I166">
        <v>131.9</v>
      </c>
      <c r="J166">
        <v>126.3833333</v>
      </c>
      <c r="K166">
        <v>134.19999999999999</v>
      </c>
    </row>
    <row r="167" spans="1:11" x14ac:dyDescent="0.35">
      <c r="A167" t="s">
        <v>11</v>
      </c>
      <c r="B167">
        <v>2017</v>
      </c>
      <c r="C167" t="s">
        <v>22</v>
      </c>
      <c r="D167">
        <v>137.8846154</v>
      </c>
      <c r="E167">
        <v>149</v>
      </c>
      <c r="F167">
        <v>143</v>
      </c>
      <c r="G167" t="str">
        <f>""</f>
        <v/>
      </c>
      <c r="H167">
        <v>136.4</v>
      </c>
      <c r="I167">
        <v>137.30000000000001</v>
      </c>
      <c r="J167">
        <v>130.0166667</v>
      </c>
      <c r="K167">
        <v>137.80000000000001</v>
      </c>
    </row>
    <row r="168" spans="1:11" x14ac:dyDescent="0.35">
      <c r="A168" t="s">
        <v>14</v>
      </c>
      <c r="B168">
        <v>2017</v>
      </c>
      <c r="C168" t="s">
        <v>22</v>
      </c>
      <c r="D168">
        <v>136.3846154</v>
      </c>
      <c r="E168">
        <v>152.1</v>
      </c>
      <c r="F168">
        <v>129.46666669999999</v>
      </c>
      <c r="G168">
        <v>134.4</v>
      </c>
      <c r="H168">
        <v>118.9</v>
      </c>
      <c r="I168">
        <v>127.7</v>
      </c>
      <c r="J168">
        <v>124.5333333</v>
      </c>
      <c r="K168">
        <v>132.69999999999999</v>
      </c>
    </row>
    <row r="169" spans="1:11" x14ac:dyDescent="0.35">
      <c r="A169" t="s">
        <v>15</v>
      </c>
      <c r="B169">
        <v>2017</v>
      </c>
      <c r="C169" t="s">
        <v>22</v>
      </c>
      <c r="D169">
        <v>137.21538459999999</v>
      </c>
      <c r="E169">
        <v>149.80000000000001</v>
      </c>
      <c r="F169">
        <v>137.53333330000001</v>
      </c>
      <c r="G169">
        <v>134.4</v>
      </c>
      <c r="H169">
        <v>129.80000000000001</v>
      </c>
      <c r="I169">
        <v>132.80000000000001</v>
      </c>
      <c r="J169">
        <v>127.2833333</v>
      </c>
      <c r="K169">
        <v>135.4</v>
      </c>
    </row>
    <row r="170" spans="1:11" x14ac:dyDescent="0.35">
      <c r="A170" t="s">
        <v>11</v>
      </c>
      <c r="B170">
        <v>2017</v>
      </c>
      <c r="C170" t="s">
        <v>23</v>
      </c>
      <c r="D170">
        <v>137.2538462</v>
      </c>
      <c r="E170">
        <v>149.80000000000001</v>
      </c>
      <c r="F170">
        <v>143.66666670000001</v>
      </c>
      <c r="G170" t="str">
        <f>""</f>
        <v/>
      </c>
      <c r="H170">
        <v>137.4</v>
      </c>
      <c r="I170">
        <v>137.9</v>
      </c>
      <c r="J170">
        <v>130.58333329999999</v>
      </c>
      <c r="K170">
        <v>137.6</v>
      </c>
    </row>
    <row r="171" spans="1:11" x14ac:dyDescent="0.35">
      <c r="A171" t="s">
        <v>14</v>
      </c>
      <c r="B171">
        <v>2017</v>
      </c>
      <c r="C171" t="s">
        <v>23</v>
      </c>
      <c r="D171">
        <v>134.59230769999999</v>
      </c>
      <c r="E171">
        <v>153.6</v>
      </c>
      <c r="F171">
        <v>129.96666669999999</v>
      </c>
      <c r="G171">
        <v>135.69999999999999</v>
      </c>
      <c r="H171">
        <v>120.6</v>
      </c>
      <c r="I171">
        <v>128.1</v>
      </c>
      <c r="J171">
        <v>125.1833333</v>
      </c>
      <c r="K171">
        <v>132.4</v>
      </c>
    </row>
    <row r="172" spans="1:11" x14ac:dyDescent="0.35">
      <c r="A172" t="s">
        <v>15</v>
      </c>
      <c r="B172">
        <v>2017</v>
      </c>
      <c r="C172" t="s">
        <v>23</v>
      </c>
      <c r="D172">
        <v>136.1538462</v>
      </c>
      <c r="E172">
        <v>150.80000000000001</v>
      </c>
      <c r="F172">
        <v>138.16666670000001</v>
      </c>
      <c r="G172">
        <v>135.69999999999999</v>
      </c>
      <c r="H172">
        <v>131</v>
      </c>
      <c r="I172">
        <v>133.30000000000001</v>
      </c>
      <c r="J172">
        <v>127.9</v>
      </c>
      <c r="K172">
        <v>135.19999999999999</v>
      </c>
    </row>
    <row r="173" spans="1:11" x14ac:dyDescent="0.35">
      <c r="A173" t="s">
        <v>11</v>
      </c>
      <c r="B173">
        <v>2017</v>
      </c>
      <c r="C173" t="s">
        <v>24</v>
      </c>
      <c r="D173">
        <v>137.7615385</v>
      </c>
      <c r="E173">
        <v>150.5</v>
      </c>
      <c r="F173">
        <v>144.66666670000001</v>
      </c>
      <c r="G173" t="str">
        <f>""</f>
        <v/>
      </c>
      <c r="H173">
        <v>138.1</v>
      </c>
      <c r="I173">
        <v>138.4</v>
      </c>
      <c r="J173">
        <v>131.06666670000001</v>
      </c>
      <c r="K173">
        <v>138.30000000000001</v>
      </c>
    </row>
    <row r="174" spans="1:11" x14ac:dyDescent="0.35">
      <c r="A174" t="s">
        <v>14</v>
      </c>
      <c r="B174">
        <v>2017</v>
      </c>
      <c r="C174" t="s">
        <v>24</v>
      </c>
      <c r="D174">
        <v>135.82307689999999</v>
      </c>
      <c r="E174">
        <v>154.6</v>
      </c>
      <c r="F174">
        <v>130.5</v>
      </c>
      <c r="G174">
        <v>137.30000000000001</v>
      </c>
      <c r="H174">
        <v>122.6</v>
      </c>
      <c r="I174">
        <v>128.30000000000001</v>
      </c>
      <c r="J174">
        <v>125.3</v>
      </c>
      <c r="K174">
        <v>133.5</v>
      </c>
    </row>
    <row r="175" spans="1:11" x14ac:dyDescent="0.35">
      <c r="A175" t="s">
        <v>15</v>
      </c>
      <c r="B175">
        <v>2017</v>
      </c>
      <c r="C175" t="s">
        <v>24</v>
      </c>
      <c r="D175">
        <v>136.9</v>
      </c>
      <c r="E175">
        <v>151.6</v>
      </c>
      <c r="F175">
        <v>138.96666669999999</v>
      </c>
      <c r="G175">
        <v>137.30000000000001</v>
      </c>
      <c r="H175">
        <v>132.19999999999999</v>
      </c>
      <c r="I175">
        <v>133.6</v>
      </c>
      <c r="J175">
        <v>128.21666669999999</v>
      </c>
      <c r="K175">
        <v>136.1</v>
      </c>
    </row>
    <row r="176" spans="1:11" x14ac:dyDescent="0.35">
      <c r="A176" t="s">
        <v>11</v>
      </c>
      <c r="B176">
        <v>2017</v>
      </c>
      <c r="C176" t="s">
        <v>26</v>
      </c>
      <c r="D176">
        <v>139.82307689999999</v>
      </c>
      <c r="E176">
        <v>152.1</v>
      </c>
      <c r="F176">
        <v>145.66666670000001</v>
      </c>
      <c r="G176" t="str">
        <f>""</f>
        <v/>
      </c>
      <c r="H176">
        <v>141.1</v>
      </c>
      <c r="I176">
        <v>139.4</v>
      </c>
      <c r="J176">
        <v>132.06666670000001</v>
      </c>
      <c r="K176">
        <v>140</v>
      </c>
    </row>
    <row r="177" spans="1:11" x14ac:dyDescent="0.35">
      <c r="A177" t="s">
        <v>14</v>
      </c>
      <c r="B177">
        <v>2017</v>
      </c>
      <c r="C177" t="s">
        <v>26</v>
      </c>
      <c r="D177">
        <v>138.20769229999999</v>
      </c>
      <c r="E177">
        <v>156.19999999999999</v>
      </c>
      <c r="F177">
        <v>131.30000000000001</v>
      </c>
      <c r="G177">
        <v>138.6</v>
      </c>
      <c r="H177">
        <v>125.7</v>
      </c>
      <c r="I177">
        <v>128.80000000000001</v>
      </c>
      <c r="J177">
        <v>125.7</v>
      </c>
      <c r="K177">
        <v>134.80000000000001</v>
      </c>
    </row>
    <row r="178" spans="1:11" x14ac:dyDescent="0.35">
      <c r="A178" t="s">
        <v>15</v>
      </c>
      <c r="B178">
        <v>2017</v>
      </c>
      <c r="C178" t="s">
        <v>26</v>
      </c>
      <c r="D178">
        <v>139.09230769999999</v>
      </c>
      <c r="E178">
        <v>153.19999999999999</v>
      </c>
      <c r="F178">
        <v>139.8666667</v>
      </c>
      <c r="G178">
        <v>138.6</v>
      </c>
      <c r="H178">
        <v>135.30000000000001</v>
      </c>
      <c r="I178">
        <v>134.4</v>
      </c>
      <c r="J178">
        <v>128.93333329999999</v>
      </c>
      <c r="K178">
        <v>137.6</v>
      </c>
    </row>
    <row r="179" spans="1:11" x14ac:dyDescent="0.35">
      <c r="A179" t="s">
        <v>11</v>
      </c>
      <c r="B179">
        <v>2017</v>
      </c>
      <c r="C179" t="s">
        <v>27</v>
      </c>
      <c r="D179">
        <v>139.5076923</v>
      </c>
      <c r="E179">
        <v>153.19999999999999</v>
      </c>
      <c r="F179">
        <v>145.69999999999999</v>
      </c>
      <c r="G179" t="str">
        <f>""</f>
        <v/>
      </c>
      <c r="H179">
        <v>142.6</v>
      </c>
      <c r="I179">
        <v>139.5</v>
      </c>
      <c r="J179">
        <v>132.05000000000001</v>
      </c>
      <c r="K179">
        <v>139.80000000000001</v>
      </c>
    </row>
    <row r="180" spans="1:11" x14ac:dyDescent="0.35">
      <c r="A180" t="s">
        <v>14</v>
      </c>
      <c r="B180">
        <v>2017</v>
      </c>
      <c r="C180" t="s">
        <v>27</v>
      </c>
      <c r="D180">
        <v>135.96153849999999</v>
      </c>
      <c r="E180">
        <v>157</v>
      </c>
      <c r="F180">
        <v>131.7333333</v>
      </c>
      <c r="G180">
        <v>139.1</v>
      </c>
      <c r="H180">
        <v>126.8</v>
      </c>
      <c r="I180">
        <v>129.30000000000001</v>
      </c>
      <c r="J180">
        <v>125.91666669999999</v>
      </c>
      <c r="K180">
        <v>134.1</v>
      </c>
    </row>
    <row r="181" spans="1:11" x14ac:dyDescent="0.35">
      <c r="A181" t="s">
        <v>15</v>
      </c>
      <c r="B181">
        <v>2017</v>
      </c>
      <c r="C181" t="s">
        <v>27</v>
      </c>
      <c r="D181">
        <v>138.07692309999999</v>
      </c>
      <c r="E181">
        <v>154.19999999999999</v>
      </c>
      <c r="F181">
        <v>140.06666670000001</v>
      </c>
      <c r="G181">
        <v>139.1</v>
      </c>
      <c r="H181">
        <v>136.6</v>
      </c>
      <c r="I181">
        <v>134.69999999999999</v>
      </c>
      <c r="J181">
        <v>129.03333330000001</v>
      </c>
      <c r="K181">
        <v>137.19999999999999</v>
      </c>
    </row>
    <row r="182" spans="1:11" x14ac:dyDescent="0.35">
      <c r="A182" t="s">
        <v>11</v>
      </c>
      <c r="B182">
        <v>2018</v>
      </c>
      <c r="C182" t="s">
        <v>12</v>
      </c>
      <c r="D182">
        <v>138.5153846</v>
      </c>
      <c r="E182">
        <v>153.6</v>
      </c>
      <c r="F182">
        <v>146.03333330000001</v>
      </c>
      <c r="G182" t="str">
        <f>""</f>
        <v/>
      </c>
      <c r="H182">
        <v>142.30000000000001</v>
      </c>
      <c r="I182">
        <v>139.80000000000001</v>
      </c>
      <c r="J182">
        <v>132.58333329999999</v>
      </c>
      <c r="K182">
        <v>139.30000000000001</v>
      </c>
    </row>
    <row r="183" spans="1:11" x14ac:dyDescent="0.35">
      <c r="A183" t="s">
        <v>14</v>
      </c>
      <c r="B183">
        <v>2018</v>
      </c>
      <c r="C183" t="s">
        <v>12</v>
      </c>
      <c r="D183">
        <v>134.4846154</v>
      </c>
      <c r="E183">
        <v>157.69999999999999</v>
      </c>
      <c r="F183">
        <v>132.1</v>
      </c>
      <c r="G183">
        <v>140.4</v>
      </c>
      <c r="H183">
        <v>127.3</v>
      </c>
      <c r="I183">
        <v>129.5</v>
      </c>
      <c r="J183">
        <v>126.65</v>
      </c>
      <c r="K183">
        <v>134.1</v>
      </c>
    </row>
    <row r="184" spans="1:11" x14ac:dyDescent="0.35">
      <c r="A184" t="s">
        <v>15</v>
      </c>
      <c r="B184">
        <v>2018</v>
      </c>
      <c r="C184" t="s">
        <v>12</v>
      </c>
      <c r="D184">
        <v>136.91538460000001</v>
      </c>
      <c r="E184">
        <v>154.69999999999999</v>
      </c>
      <c r="F184">
        <v>140.43333329999999</v>
      </c>
      <c r="G184">
        <v>140.4</v>
      </c>
      <c r="H184">
        <v>136.6</v>
      </c>
      <c r="I184">
        <v>134.9</v>
      </c>
      <c r="J184">
        <v>129.6166667</v>
      </c>
      <c r="K184">
        <v>136.9</v>
      </c>
    </row>
    <row r="185" spans="1:11" x14ac:dyDescent="0.35">
      <c r="A185" t="s">
        <v>11</v>
      </c>
      <c r="B185">
        <v>2018</v>
      </c>
      <c r="C185" t="s">
        <v>16</v>
      </c>
      <c r="D185">
        <v>137.03846150000001</v>
      </c>
      <c r="E185">
        <v>153.30000000000001</v>
      </c>
      <c r="F185">
        <v>146.30000000000001</v>
      </c>
      <c r="G185" t="str">
        <f>""</f>
        <v/>
      </c>
      <c r="H185">
        <v>142.4</v>
      </c>
      <c r="I185">
        <v>139.9</v>
      </c>
      <c r="J185">
        <v>132.7666667</v>
      </c>
      <c r="K185">
        <v>138.5</v>
      </c>
    </row>
    <row r="186" spans="1:11" x14ac:dyDescent="0.35">
      <c r="A186" t="s">
        <v>14</v>
      </c>
      <c r="B186">
        <v>2018</v>
      </c>
      <c r="C186" t="s">
        <v>16</v>
      </c>
      <c r="D186">
        <v>132.91538460000001</v>
      </c>
      <c r="E186">
        <v>159.30000000000001</v>
      </c>
      <c r="F186">
        <v>132.3666667</v>
      </c>
      <c r="G186">
        <v>141.30000000000001</v>
      </c>
      <c r="H186">
        <v>127.3</v>
      </c>
      <c r="I186">
        <v>129.9</v>
      </c>
      <c r="J186">
        <v>127.2666667</v>
      </c>
      <c r="K186">
        <v>134</v>
      </c>
    </row>
    <row r="187" spans="1:11" x14ac:dyDescent="0.35">
      <c r="A187" t="s">
        <v>15</v>
      </c>
      <c r="B187">
        <v>2018</v>
      </c>
      <c r="C187" t="s">
        <v>16</v>
      </c>
      <c r="D187">
        <v>135.41538460000001</v>
      </c>
      <c r="E187">
        <v>154.9</v>
      </c>
      <c r="F187">
        <v>140.66666670000001</v>
      </c>
      <c r="G187">
        <v>141.30000000000001</v>
      </c>
      <c r="H187">
        <v>136.69999999999999</v>
      </c>
      <c r="I187">
        <v>135.19999999999999</v>
      </c>
      <c r="J187">
        <v>130.03333330000001</v>
      </c>
      <c r="K187">
        <v>136.4</v>
      </c>
    </row>
    <row r="188" spans="1:11" x14ac:dyDescent="0.35">
      <c r="A188" t="s">
        <v>11</v>
      </c>
      <c r="B188">
        <v>2018</v>
      </c>
      <c r="C188" t="s">
        <v>17</v>
      </c>
      <c r="D188">
        <v>137.07692309999999</v>
      </c>
      <c r="E188">
        <v>155.1</v>
      </c>
      <c r="F188">
        <v>146.83333329999999</v>
      </c>
      <c r="G188" t="str">
        <f>""</f>
        <v/>
      </c>
      <c r="H188">
        <v>142.6</v>
      </c>
      <c r="I188">
        <v>139.9</v>
      </c>
      <c r="J188">
        <v>133.6166667</v>
      </c>
      <c r="K188">
        <v>138.69999999999999</v>
      </c>
    </row>
    <row r="189" spans="1:11" x14ac:dyDescent="0.35">
      <c r="A189" t="s">
        <v>14</v>
      </c>
      <c r="B189">
        <v>2018</v>
      </c>
      <c r="C189" t="s">
        <v>17</v>
      </c>
      <c r="D189">
        <v>131.96153849999999</v>
      </c>
      <c r="E189">
        <v>159.69999999999999</v>
      </c>
      <c r="F189">
        <v>132.8666667</v>
      </c>
      <c r="G189">
        <v>142</v>
      </c>
      <c r="H189">
        <v>126.4</v>
      </c>
      <c r="I189">
        <v>130.80000000000001</v>
      </c>
      <c r="J189">
        <v>127.7833333</v>
      </c>
      <c r="K189">
        <v>134</v>
      </c>
    </row>
    <row r="190" spans="1:11" x14ac:dyDescent="0.35">
      <c r="A190" t="s">
        <v>15</v>
      </c>
      <c r="B190">
        <v>2018</v>
      </c>
      <c r="C190" t="s">
        <v>17</v>
      </c>
      <c r="D190">
        <v>135.07692309999999</v>
      </c>
      <c r="E190">
        <v>156.30000000000001</v>
      </c>
      <c r="F190">
        <v>141.19999999999999</v>
      </c>
      <c r="G190">
        <v>142</v>
      </c>
      <c r="H190">
        <v>136.5</v>
      </c>
      <c r="I190">
        <v>135.6</v>
      </c>
      <c r="J190">
        <v>130.66666670000001</v>
      </c>
      <c r="K190">
        <v>136.5</v>
      </c>
    </row>
    <row r="191" spans="1:11" x14ac:dyDescent="0.35">
      <c r="A191" t="s">
        <v>11</v>
      </c>
      <c r="B191">
        <v>2018</v>
      </c>
      <c r="C191" t="s">
        <v>18</v>
      </c>
      <c r="D191">
        <v>136.92307690000001</v>
      </c>
      <c r="E191">
        <v>156.1</v>
      </c>
      <c r="F191">
        <v>147.5</v>
      </c>
      <c r="G191" t="str">
        <f>""</f>
        <v/>
      </c>
      <c r="H191">
        <v>143.80000000000001</v>
      </c>
      <c r="I191">
        <v>140.9</v>
      </c>
      <c r="J191">
        <v>134.53333330000001</v>
      </c>
      <c r="K191">
        <v>139.1</v>
      </c>
    </row>
    <row r="192" spans="1:11" x14ac:dyDescent="0.35">
      <c r="A192" t="s">
        <v>14</v>
      </c>
      <c r="B192">
        <v>2018</v>
      </c>
      <c r="C192" t="s">
        <v>18</v>
      </c>
      <c r="D192">
        <v>132.30769230000001</v>
      </c>
      <c r="E192">
        <v>159.19999999999999</v>
      </c>
      <c r="F192">
        <v>133.80000000000001</v>
      </c>
      <c r="G192">
        <v>142.9</v>
      </c>
      <c r="H192">
        <v>124.6</v>
      </c>
      <c r="I192">
        <v>131.80000000000001</v>
      </c>
      <c r="J192">
        <v>128.8833333</v>
      </c>
      <c r="K192">
        <v>134.80000000000001</v>
      </c>
    </row>
    <row r="193" spans="1:11" x14ac:dyDescent="0.35">
      <c r="A193" t="s">
        <v>15</v>
      </c>
      <c r="B193">
        <v>2018</v>
      </c>
      <c r="C193" t="s">
        <v>18</v>
      </c>
      <c r="D193">
        <v>135.16153850000001</v>
      </c>
      <c r="E193">
        <v>156.9</v>
      </c>
      <c r="F193">
        <v>142</v>
      </c>
      <c r="G193">
        <v>142.9</v>
      </c>
      <c r="H193">
        <v>136.5</v>
      </c>
      <c r="I193">
        <v>136.6</v>
      </c>
      <c r="J193">
        <v>131.71666669999999</v>
      </c>
      <c r="K193">
        <v>137.1</v>
      </c>
    </row>
    <row r="194" spans="1:11" x14ac:dyDescent="0.35">
      <c r="A194" t="s">
        <v>11</v>
      </c>
      <c r="B194">
        <v>2018</v>
      </c>
      <c r="C194" t="s">
        <v>19</v>
      </c>
      <c r="D194">
        <v>137.1076923</v>
      </c>
      <c r="E194">
        <v>157</v>
      </c>
      <c r="F194">
        <v>148.2333333</v>
      </c>
      <c r="G194" t="str">
        <f>""</f>
        <v/>
      </c>
      <c r="H194">
        <v>144.30000000000001</v>
      </c>
      <c r="I194">
        <v>141.80000000000001</v>
      </c>
      <c r="J194">
        <v>135.3833333</v>
      </c>
      <c r="K194">
        <v>139.80000000000001</v>
      </c>
    </row>
    <row r="195" spans="1:11" x14ac:dyDescent="0.35">
      <c r="A195" t="s">
        <v>14</v>
      </c>
      <c r="B195">
        <v>2018</v>
      </c>
      <c r="C195" t="s">
        <v>19</v>
      </c>
      <c r="D195">
        <v>132.53076920000001</v>
      </c>
      <c r="E195">
        <v>160.30000000000001</v>
      </c>
      <c r="F195">
        <v>134.5</v>
      </c>
      <c r="G195">
        <v>143.19999999999999</v>
      </c>
      <c r="H195">
        <v>124.7</v>
      </c>
      <c r="I195">
        <v>132.5</v>
      </c>
      <c r="J195">
        <v>129.53333330000001</v>
      </c>
      <c r="K195">
        <v>135.4</v>
      </c>
    </row>
    <row r="196" spans="1:11" x14ac:dyDescent="0.35">
      <c r="A196" t="s">
        <v>15</v>
      </c>
      <c r="B196">
        <v>2018</v>
      </c>
      <c r="C196" t="s">
        <v>19</v>
      </c>
      <c r="D196">
        <v>135.3692308</v>
      </c>
      <c r="E196">
        <v>157.9</v>
      </c>
      <c r="F196">
        <v>142.69999999999999</v>
      </c>
      <c r="G196">
        <v>143.19999999999999</v>
      </c>
      <c r="H196">
        <v>136.9</v>
      </c>
      <c r="I196">
        <v>137.4</v>
      </c>
      <c r="J196">
        <v>132.46666669999999</v>
      </c>
      <c r="K196">
        <v>137.80000000000001</v>
      </c>
    </row>
    <row r="197" spans="1:11" x14ac:dyDescent="0.35">
      <c r="A197" t="s">
        <v>11</v>
      </c>
      <c r="B197">
        <v>2018</v>
      </c>
      <c r="C197" t="s">
        <v>20</v>
      </c>
      <c r="D197">
        <v>137.71538459999999</v>
      </c>
      <c r="E197">
        <v>157.30000000000001</v>
      </c>
      <c r="F197">
        <v>148.7666667</v>
      </c>
      <c r="G197" t="str">
        <f>""</f>
        <v/>
      </c>
      <c r="H197">
        <v>145.1</v>
      </c>
      <c r="I197">
        <v>142.19999999999999</v>
      </c>
      <c r="J197">
        <v>135.94999999999999</v>
      </c>
      <c r="K197">
        <v>140.5</v>
      </c>
    </row>
    <row r="198" spans="1:11" x14ac:dyDescent="0.35">
      <c r="A198" t="s">
        <v>14</v>
      </c>
      <c r="B198">
        <v>2018</v>
      </c>
      <c r="C198" t="s">
        <v>20</v>
      </c>
      <c r="D198">
        <v>134.40769230000001</v>
      </c>
      <c r="E198">
        <v>161</v>
      </c>
      <c r="F198">
        <v>135</v>
      </c>
      <c r="G198">
        <v>142.5</v>
      </c>
      <c r="H198">
        <v>126.5</v>
      </c>
      <c r="I198">
        <v>133.1</v>
      </c>
      <c r="J198">
        <v>130.06666670000001</v>
      </c>
      <c r="K198">
        <v>136.19999999999999</v>
      </c>
    </row>
    <row r="199" spans="1:11" x14ac:dyDescent="0.35">
      <c r="A199" t="s">
        <v>15</v>
      </c>
      <c r="B199">
        <v>2018</v>
      </c>
      <c r="C199" t="s">
        <v>20</v>
      </c>
      <c r="D199">
        <v>136.46923079999999</v>
      </c>
      <c r="E199">
        <v>158.30000000000001</v>
      </c>
      <c r="F199">
        <v>143.2333333</v>
      </c>
      <c r="G199">
        <v>142.5</v>
      </c>
      <c r="H199">
        <v>138.1</v>
      </c>
      <c r="I199">
        <v>137.9</v>
      </c>
      <c r="J199">
        <v>133</v>
      </c>
      <c r="K199">
        <v>138.5</v>
      </c>
    </row>
    <row r="200" spans="1:11" x14ac:dyDescent="0.35">
      <c r="A200" t="s">
        <v>11</v>
      </c>
      <c r="B200">
        <v>2018</v>
      </c>
      <c r="C200" t="s">
        <v>21</v>
      </c>
      <c r="D200">
        <v>139.2692308</v>
      </c>
      <c r="E200">
        <v>156.1</v>
      </c>
      <c r="F200">
        <v>149.06666670000001</v>
      </c>
      <c r="G200" t="str">
        <f>""</f>
        <v/>
      </c>
      <c r="H200">
        <v>146.80000000000001</v>
      </c>
      <c r="I200">
        <v>143.1</v>
      </c>
      <c r="J200">
        <v>136.35</v>
      </c>
      <c r="K200">
        <v>141.80000000000001</v>
      </c>
    </row>
    <row r="201" spans="1:11" x14ac:dyDescent="0.35">
      <c r="A201" t="s">
        <v>14</v>
      </c>
      <c r="B201">
        <v>2018</v>
      </c>
      <c r="C201" t="s">
        <v>21</v>
      </c>
      <c r="D201">
        <v>136.2384615</v>
      </c>
      <c r="E201">
        <v>161.4</v>
      </c>
      <c r="F201">
        <v>135.46666669999999</v>
      </c>
      <c r="G201">
        <v>143.6</v>
      </c>
      <c r="H201">
        <v>128.1</v>
      </c>
      <c r="I201">
        <v>133.6</v>
      </c>
      <c r="J201">
        <v>130.85</v>
      </c>
      <c r="K201">
        <v>137.5</v>
      </c>
    </row>
    <row r="202" spans="1:11" x14ac:dyDescent="0.35">
      <c r="A202" t="s">
        <v>15</v>
      </c>
      <c r="B202">
        <v>2018</v>
      </c>
      <c r="C202" t="s">
        <v>21</v>
      </c>
      <c r="D202">
        <v>138.1</v>
      </c>
      <c r="E202">
        <v>157.5</v>
      </c>
      <c r="F202">
        <v>143.6</v>
      </c>
      <c r="G202">
        <v>143.6</v>
      </c>
      <c r="H202">
        <v>139.69999999999999</v>
      </c>
      <c r="I202">
        <v>138.6</v>
      </c>
      <c r="J202">
        <v>133.6166667</v>
      </c>
      <c r="K202">
        <v>139.80000000000001</v>
      </c>
    </row>
    <row r="203" spans="1:11" x14ac:dyDescent="0.35">
      <c r="A203" t="s">
        <v>11</v>
      </c>
      <c r="B203">
        <v>2018</v>
      </c>
      <c r="C203" t="s">
        <v>22</v>
      </c>
      <c r="D203">
        <v>139.90769230000001</v>
      </c>
      <c r="E203">
        <v>156.4</v>
      </c>
      <c r="F203">
        <v>149.7333333</v>
      </c>
      <c r="G203" t="str">
        <f>""</f>
        <v/>
      </c>
      <c r="H203">
        <v>147.69999999999999</v>
      </c>
      <c r="I203">
        <v>143.80000000000001</v>
      </c>
      <c r="J203">
        <v>136.85</v>
      </c>
      <c r="K203">
        <v>142.5</v>
      </c>
    </row>
    <row r="204" spans="1:11" x14ac:dyDescent="0.35">
      <c r="A204" t="s">
        <v>14</v>
      </c>
      <c r="B204">
        <v>2018</v>
      </c>
      <c r="C204" t="s">
        <v>22</v>
      </c>
      <c r="D204">
        <v>135.96923079999999</v>
      </c>
      <c r="E204">
        <v>162.1</v>
      </c>
      <c r="F204">
        <v>135.7666667</v>
      </c>
      <c r="G204">
        <v>144.6</v>
      </c>
      <c r="H204">
        <v>129.80000000000001</v>
      </c>
      <c r="I204">
        <v>134.4</v>
      </c>
      <c r="J204">
        <v>131.66666670000001</v>
      </c>
      <c r="K204">
        <v>138</v>
      </c>
    </row>
    <row r="205" spans="1:11" x14ac:dyDescent="0.35">
      <c r="A205" t="s">
        <v>15</v>
      </c>
      <c r="B205">
        <v>2018</v>
      </c>
      <c r="C205" t="s">
        <v>22</v>
      </c>
      <c r="D205">
        <v>138.36153849999999</v>
      </c>
      <c r="E205">
        <v>157.9</v>
      </c>
      <c r="F205">
        <v>144.06666670000001</v>
      </c>
      <c r="G205">
        <v>144.6</v>
      </c>
      <c r="H205">
        <v>140.9</v>
      </c>
      <c r="I205">
        <v>139.4</v>
      </c>
      <c r="J205">
        <v>134.2666667</v>
      </c>
      <c r="K205">
        <v>140.4</v>
      </c>
    </row>
    <row r="206" spans="1:11" x14ac:dyDescent="0.35">
      <c r="A206" t="s">
        <v>11</v>
      </c>
      <c r="B206">
        <v>2018</v>
      </c>
      <c r="C206" t="s">
        <v>23</v>
      </c>
      <c r="D206">
        <v>138.44615379999999</v>
      </c>
      <c r="E206">
        <v>157.69999999999999</v>
      </c>
      <c r="F206">
        <v>149.83333329999999</v>
      </c>
      <c r="G206" t="str">
        <f>""</f>
        <v/>
      </c>
      <c r="H206">
        <v>149</v>
      </c>
      <c r="I206">
        <v>144</v>
      </c>
      <c r="J206">
        <v>137.81666670000001</v>
      </c>
      <c r="K206">
        <v>142.1</v>
      </c>
    </row>
    <row r="207" spans="1:11" x14ac:dyDescent="0.35">
      <c r="A207" t="s">
        <v>14</v>
      </c>
      <c r="B207">
        <v>2018</v>
      </c>
      <c r="C207" t="s">
        <v>23</v>
      </c>
      <c r="D207">
        <v>134.4923077</v>
      </c>
      <c r="E207">
        <v>163.30000000000001</v>
      </c>
      <c r="F207">
        <v>136.4</v>
      </c>
      <c r="G207">
        <v>145.30000000000001</v>
      </c>
      <c r="H207">
        <v>131.19999999999999</v>
      </c>
      <c r="I207">
        <v>134.9</v>
      </c>
      <c r="J207">
        <v>132.46666669999999</v>
      </c>
      <c r="K207">
        <v>138.1</v>
      </c>
    </row>
    <row r="208" spans="1:11" x14ac:dyDescent="0.35">
      <c r="A208" t="s">
        <v>15</v>
      </c>
      <c r="B208">
        <v>2018</v>
      </c>
      <c r="C208" t="s">
        <v>23</v>
      </c>
      <c r="D208">
        <v>136.8846154</v>
      </c>
      <c r="E208">
        <v>159.19999999999999</v>
      </c>
      <c r="F208">
        <v>144.43333329999999</v>
      </c>
      <c r="G208">
        <v>145.30000000000001</v>
      </c>
      <c r="H208">
        <v>142.30000000000001</v>
      </c>
      <c r="I208">
        <v>139.69999999999999</v>
      </c>
      <c r="J208">
        <v>135.1166667</v>
      </c>
      <c r="K208">
        <v>140.19999999999999</v>
      </c>
    </row>
    <row r="209" spans="1:11" x14ac:dyDescent="0.35">
      <c r="A209" t="s">
        <v>11</v>
      </c>
      <c r="B209">
        <v>2018</v>
      </c>
      <c r="C209" t="s">
        <v>24</v>
      </c>
      <c r="D209">
        <v>137.09230769999999</v>
      </c>
      <c r="E209">
        <v>159.6</v>
      </c>
      <c r="F209">
        <v>148.33333329999999</v>
      </c>
      <c r="G209" t="str">
        <f>""</f>
        <v/>
      </c>
      <c r="H209">
        <v>149.69999999999999</v>
      </c>
      <c r="I209">
        <v>147.5</v>
      </c>
      <c r="J209">
        <v>139.65</v>
      </c>
      <c r="K209">
        <v>142.19999999999999</v>
      </c>
    </row>
    <row r="210" spans="1:11" x14ac:dyDescent="0.35">
      <c r="A210" t="s">
        <v>14</v>
      </c>
      <c r="B210">
        <v>2018</v>
      </c>
      <c r="C210" t="s">
        <v>24</v>
      </c>
      <c r="D210">
        <v>134.93076919999999</v>
      </c>
      <c r="E210">
        <v>164</v>
      </c>
      <c r="F210">
        <v>137</v>
      </c>
      <c r="G210">
        <v>146.30000000000001</v>
      </c>
      <c r="H210">
        <v>133.4</v>
      </c>
      <c r="I210">
        <v>135.1</v>
      </c>
      <c r="J210">
        <v>133.1</v>
      </c>
      <c r="K210">
        <v>138.9</v>
      </c>
    </row>
    <row r="211" spans="1:11" x14ac:dyDescent="0.35">
      <c r="A211" t="s">
        <v>15</v>
      </c>
      <c r="B211">
        <v>2018</v>
      </c>
      <c r="C211" t="s">
        <v>24</v>
      </c>
      <c r="D211">
        <v>136.6307692</v>
      </c>
      <c r="E211">
        <v>162.6</v>
      </c>
      <c r="F211">
        <v>144.66666670000001</v>
      </c>
      <c r="G211">
        <v>146.9</v>
      </c>
      <c r="H211">
        <v>145.30000000000001</v>
      </c>
      <c r="I211">
        <v>142.19999999999999</v>
      </c>
      <c r="J211">
        <v>136.69999999999999</v>
      </c>
      <c r="K211">
        <v>140.80000000000001</v>
      </c>
    </row>
    <row r="212" spans="1:11" x14ac:dyDescent="0.35">
      <c r="A212" t="s">
        <v>11</v>
      </c>
      <c r="B212">
        <v>2018</v>
      </c>
      <c r="C212" t="s">
        <v>26</v>
      </c>
      <c r="D212">
        <v>137.5</v>
      </c>
      <c r="E212">
        <v>161.9</v>
      </c>
      <c r="F212">
        <v>149.33333329999999</v>
      </c>
      <c r="G212" t="str">
        <f>""</f>
        <v/>
      </c>
      <c r="H212">
        <v>150.30000000000001</v>
      </c>
      <c r="I212">
        <v>148</v>
      </c>
      <c r="J212">
        <v>140.3666667</v>
      </c>
      <c r="K212">
        <v>142.4</v>
      </c>
    </row>
    <row r="213" spans="1:11" x14ac:dyDescent="0.35">
      <c r="A213" t="s">
        <v>14</v>
      </c>
      <c r="B213">
        <v>2018</v>
      </c>
      <c r="C213" t="s">
        <v>26</v>
      </c>
      <c r="D213">
        <v>135.19230769999999</v>
      </c>
      <c r="E213">
        <v>164.4</v>
      </c>
      <c r="F213">
        <v>137.69999999999999</v>
      </c>
      <c r="G213">
        <v>146.9</v>
      </c>
      <c r="H213">
        <v>136.69999999999999</v>
      </c>
      <c r="I213">
        <v>135.80000000000001</v>
      </c>
      <c r="J213">
        <v>133.0166667</v>
      </c>
      <c r="K213">
        <v>139</v>
      </c>
    </row>
    <row r="214" spans="1:11" x14ac:dyDescent="0.35">
      <c r="A214" t="s">
        <v>15</v>
      </c>
      <c r="B214">
        <v>2018</v>
      </c>
      <c r="C214" t="s">
        <v>26</v>
      </c>
      <c r="D214">
        <v>136.59230769999999</v>
      </c>
      <c r="E214">
        <v>162.6</v>
      </c>
      <c r="F214">
        <v>144.6</v>
      </c>
      <c r="G214">
        <v>146.9</v>
      </c>
      <c r="H214">
        <v>145.1</v>
      </c>
      <c r="I214">
        <v>142.19999999999999</v>
      </c>
      <c r="J214">
        <v>136.69999999999999</v>
      </c>
      <c r="K214">
        <v>140.80000000000001</v>
      </c>
    </row>
    <row r="215" spans="1:11" x14ac:dyDescent="0.35">
      <c r="A215" t="s">
        <v>11</v>
      </c>
      <c r="B215">
        <v>2018</v>
      </c>
      <c r="C215" t="s">
        <v>27</v>
      </c>
      <c r="D215">
        <v>136.3923077</v>
      </c>
      <c r="E215">
        <v>162.4</v>
      </c>
      <c r="F215">
        <v>149.43333329999999</v>
      </c>
      <c r="G215" t="str">
        <f>""</f>
        <v/>
      </c>
      <c r="H215">
        <v>149</v>
      </c>
      <c r="I215">
        <v>149.5</v>
      </c>
      <c r="J215">
        <v>141.94999999999999</v>
      </c>
      <c r="K215">
        <v>141.9</v>
      </c>
    </row>
    <row r="216" spans="1:11" x14ac:dyDescent="0.35">
      <c r="A216" t="s">
        <v>14</v>
      </c>
      <c r="B216">
        <v>2018</v>
      </c>
      <c r="C216" t="s">
        <v>27</v>
      </c>
      <c r="D216">
        <v>134.35384619999999</v>
      </c>
      <c r="E216">
        <v>164.6</v>
      </c>
      <c r="F216">
        <v>137.93333329999999</v>
      </c>
      <c r="G216">
        <v>146.5</v>
      </c>
      <c r="H216">
        <v>132.4</v>
      </c>
      <c r="I216">
        <v>136.19999999999999</v>
      </c>
      <c r="J216">
        <v>132.80000000000001</v>
      </c>
      <c r="K216">
        <v>138</v>
      </c>
    </row>
    <row r="217" spans="1:11" x14ac:dyDescent="0.35">
      <c r="A217" t="s">
        <v>15</v>
      </c>
      <c r="B217">
        <v>2018</v>
      </c>
      <c r="C217" t="s">
        <v>27</v>
      </c>
      <c r="D217">
        <v>135.6</v>
      </c>
      <c r="E217">
        <v>163</v>
      </c>
      <c r="F217">
        <v>144.7666667</v>
      </c>
      <c r="G217">
        <v>146.5</v>
      </c>
      <c r="H217">
        <v>142.69999999999999</v>
      </c>
      <c r="I217">
        <v>143.19999999999999</v>
      </c>
      <c r="J217">
        <v>137.4</v>
      </c>
      <c r="K217">
        <v>140.1</v>
      </c>
    </row>
    <row r="218" spans="1:11" x14ac:dyDescent="0.35">
      <c r="A218" t="s">
        <v>11</v>
      </c>
      <c r="B218">
        <v>2019</v>
      </c>
      <c r="C218" t="s">
        <v>12</v>
      </c>
      <c r="D218">
        <v>135.35384619999999</v>
      </c>
      <c r="E218">
        <v>162.69999999999999</v>
      </c>
      <c r="F218">
        <v>148.53333330000001</v>
      </c>
      <c r="G218" t="str">
        <f>""</f>
        <v/>
      </c>
      <c r="H218">
        <v>146.19999999999999</v>
      </c>
      <c r="I218">
        <v>150.1</v>
      </c>
      <c r="J218">
        <v>141.91666670000001</v>
      </c>
      <c r="K218">
        <v>141</v>
      </c>
    </row>
    <row r="219" spans="1:11" x14ac:dyDescent="0.35">
      <c r="A219" t="s">
        <v>14</v>
      </c>
      <c r="B219">
        <v>2019</v>
      </c>
      <c r="C219" t="s">
        <v>12</v>
      </c>
      <c r="D219">
        <v>134.17692310000001</v>
      </c>
      <c r="E219">
        <v>164.7</v>
      </c>
      <c r="F219">
        <v>138.16666670000001</v>
      </c>
      <c r="G219">
        <v>147.69999999999999</v>
      </c>
      <c r="H219">
        <v>128.6</v>
      </c>
      <c r="I219">
        <v>136.30000000000001</v>
      </c>
      <c r="J219">
        <v>133.06666670000001</v>
      </c>
      <c r="K219">
        <v>138</v>
      </c>
    </row>
    <row r="220" spans="1:11" x14ac:dyDescent="0.35">
      <c r="A220" t="s">
        <v>15</v>
      </c>
      <c r="B220">
        <v>2019</v>
      </c>
      <c r="C220" t="s">
        <v>12</v>
      </c>
      <c r="D220">
        <v>134.8769231</v>
      </c>
      <c r="E220">
        <v>163.19999999999999</v>
      </c>
      <c r="F220">
        <v>144.33333329999999</v>
      </c>
      <c r="G220">
        <v>147.69999999999999</v>
      </c>
      <c r="H220">
        <v>139.5</v>
      </c>
      <c r="I220">
        <v>143.6</v>
      </c>
      <c r="J220">
        <v>137.5</v>
      </c>
      <c r="K220">
        <v>139.6</v>
      </c>
    </row>
    <row r="221" spans="1:11" x14ac:dyDescent="0.35">
      <c r="A221" t="s">
        <v>11</v>
      </c>
      <c r="B221">
        <v>2019</v>
      </c>
      <c r="C221" t="s">
        <v>16</v>
      </c>
      <c r="D221">
        <v>135.3692308</v>
      </c>
      <c r="E221">
        <v>162.80000000000001</v>
      </c>
      <c r="F221">
        <v>148.83333329999999</v>
      </c>
      <c r="G221" t="str">
        <f>""</f>
        <v/>
      </c>
      <c r="H221">
        <v>145.30000000000001</v>
      </c>
      <c r="I221">
        <v>150.1</v>
      </c>
      <c r="J221">
        <v>142.5166667</v>
      </c>
      <c r="K221">
        <v>141</v>
      </c>
    </row>
    <row r="222" spans="1:11" x14ac:dyDescent="0.35">
      <c r="A222" t="s">
        <v>14</v>
      </c>
      <c r="B222">
        <v>2019</v>
      </c>
      <c r="C222" t="s">
        <v>16</v>
      </c>
      <c r="D222">
        <v>134.95384619999999</v>
      </c>
      <c r="E222">
        <v>164.9</v>
      </c>
      <c r="F222">
        <v>138.5</v>
      </c>
      <c r="G222">
        <v>148.5</v>
      </c>
      <c r="H222">
        <v>127.1</v>
      </c>
      <c r="I222">
        <v>136.6</v>
      </c>
      <c r="J222">
        <v>133.65</v>
      </c>
      <c r="K222">
        <v>138.6</v>
      </c>
    </row>
    <row r="223" spans="1:11" x14ac:dyDescent="0.35">
      <c r="A223" t="s">
        <v>15</v>
      </c>
      <c r="B223">
        <v>2019</v>
      </c>
      <c r="C223" t="s">
        <v>16</v>
      </c>
      <c r="D223">
        <v>135.16153850000001</v>
      </c>
      <c r="E223">
        <v>163.4</v>
      </c>
      <c r="F223">
        <v>144.6333333</v>
      </c>
      <c r="G223">
        <v>148.5</v>
      </c>
      <c r="H223">
        <v>138.4</v>
      </c>
      <c r="I223">
        <v>143.69999999999999</v>
      </c>
      <c r="J223">
        <v>138.06666670000001</v>
      </c>
      <c r="K223">
        <v>139.9</v>
      </c>
    </row>
    <row r="224" spans="1:11" x14ac:dyDescent="0.35">
      <c r="A224" t="s">
        <v>11</v>
      </c>
      <c r="B224">
        <v>2019</v>
      </c>
      <c r="C224" t="s">
        <v>17</v>
      </c>
      <c r="D224">
        <v>135.47692309999999</v>
      </c>
      <c r="E224">
        <v>162.9</v>
      </c>
      <c r="F224">
        <v>149</v>
      </c>
      <c r="G224" t="str">
        <f>""</f>
        <v/>
      </c>
      <c r="H224">
        <v>146.4</v>
      </c>
      <c r="I224">
        <v>150</v>
      </c>
      <c r="J224">
        <v>142.66666670000001</v>
      </c>
      <c r="K224">
        <v>141.19999999999999</v>
      </c>
    </row>
    <row r="225" spans="1:11" x14ac:dyDescent="0.35">
      <c r="A225" t="s">
        <v>14</v>
      </c>
      <c r="B225">
        <v>2019</v>
      </c>
      <c r="C225" t="s">
        <v>17</v>
      </c>
      <c r="D225">
        <v>136.03076920000001</v>
      </c>
      <c r="E225">
        <v>165.3</v>
      </c>
      <c r="F225">
        <v>138.7666667</v>
      </c>
      <c r="G225">
        <v>149</v>
      </c>
      <c r="H225">
        <v>128.80000000000001</v>
      </c>
      <c r="I225">
        <v>136.80000000000001</v>
      </c>
      <c r="J225">
        <v>134.0166667</v>
      </c>
      <c r="K225">
        <v>139.5</v>
      </c>
    </row>
    <row r="226" spans="1:11" x14ac:dyDescent="0.35">
      <c r="A226" t="s">
        <v>15</v>
      </c>
      <c r="B226">
        <v>2019</v>
      </c>
      <c r="C226" t="s">
        <v>17</v>
      </c>
      <c r="D226">
        <v>135.6076923</v>
      </c>
      <c r="E226">
        <v>163.5</v>
      </c>
      <c r="F226">
        <v>144.83333329999999</v>
      </c>
      <c r="G226">
        <v>149</v>
      </c>
      <c r="H226">
        <v>139.69999999999999</v>
      </c>
      <c r="I226">
        <v>143.80000000000001</v>
      </c>
      <c r="J226">
        <v>138.31666670000001</v>
      </c>
      <c r="K226">
        <v>140.4</v>
      </c>
    </row>
    <row r="227" spans="1:11" x14ac:dyDescent="0.35">
      <c r="A227" t="s">
        <v>11</v>
      </c>
      <c r="B227">
        <v>2019</v>
      </c>
      <c r="C227" t="s">
        <v>19</v>
      </c>
      <c r="D227">
        <v>137.08461539999999</v>
      </c>
      <c r="E227">
        <v>163.30000000000001</v>
      </c>
      <c r="F227">
        <v>149.53333330000001</v>
      </c>
      <c r="G227" t="str">
        <f>""</f>
        <v/>
      </c>
      <c r="H227">
        <v>146.9</v>
      </c>
      <c r="I227">
        <v>149.5</v>
      </c>
      <c r="J227">
        <v>143.4833333</v>
      </c>
      <c r="K227">
        <v>142.4</v>
      </c>
    </row>
    <row r="228" spans="1:11" x14ac:dyDescent="0.35">
      <c r="A228" t="s">
        <v>14</v>
      </c>
      <c r="B228">
        <v>2019</v>
      </c>
      <c r="C228" t="s">
        <v>19</v>
      </c>
      <c r="D228">
        <v>139.3461538</v>
      </c>
      <c r="E228">
        <v>166.2</v>
      </c>
      <c r="F228">
        <v>139.30000000000001</v>
      </c>
      <c r="G228">
        <v>150.1</v>
      </c>
      <c r="H228">
        <v>129.4</v>
      </c>
      <c r="I228">
        <v>137.19999999999999</v>
      </c>
      <c r="J228">
        <v>134.6333333</v>
      </c>
      <c r="K228">
        <v>141.5</v>
      </c>
    </row>
    <row r="229" spans="1:11" x14ac:dyDescent="0.35">
      <c r="A229" t="s">
        <v>15</v>
      </c>
      <c r="B229">
        <v>2019</v>
      </c>
      <c r="C229" t="s">
        <v>19</v>
      </c>
      <c r="D229">
        <v>137.83846149999999</v>
      </c>
      <c r="E229">
        <v>164.1</v>
      </c>
      <c r="F229">
        <v>145.3666667</v>
      </c>
      <c r="G229">
        <v>150.1</v>
      </c>
      <c r="H229">
        <v>140.30000000000001</v>
      </c>
      <c r="I229">
        <v>143.69999999999999</v>
      </c>
      <c r="J229">
        <v>139.03333330000001</v>
      </c>
      <c r="K229">
        <v>142</v>
      </c>
    </row>
    <row r="230" spans="1:11" x14ac:dyDescent="0.35">
      <c r="A230" t="s">
        <v>11</v>
      </c>
      <c r="B230">
        <v>2019</v>
      </c>
      <c r="C230" t="s">
        <v>20</v>
      </c>
      <c r="D230">
        <v>138.78461540000001</v>
      </c>
      <c r="E230">
        <v>164.2</v>
      </c>
      <c r="F230">
        <v>149.53333330000001</v>
      </c>
      <c r="G230" t="str">
        <f>""</f>
        <v/>
      </c>
      <c r="H230">
        <v>147.80000000000001</v>
      </c>
      <c r="I230">
        <v>149.6</v>
      </c>
      <c r="J230">
        <v>144.0166667</v>
      </c>
      <c r="K230">
        <v>143.6</v>
      </c>
    </row>
    <row r="231" spans="1:11" x14ac:dyDescent="0.35">
      <c r="A231" t="s">
        <v>14</v>
      </c>
      <c r="B231">
        <v>2019</v>
      </c>
      <c r="C231" t="s">
        <v>20</v>
      </c>
      <c r="D231">
        <v>141.02307690000001</v>
      </c>
      <c r="E231">
        <v>166.7</v>
      </c>
      <c r="F231">
        <v>139.46666669999999</v>
      </c>
      <c r="G231">
        <v>149.4</v>
      </c>
      <c r="H231">
        <v>130.5</v>
      </c>
      <c r="I231">
        <v>137.4</v>
      </c>
      <c r="J231">
        <v>135.06666670000001</v>
      </c>
      <c r="K231">
        <v>142.1</v>
      </c>
    </row>
    <row r="232" spans="1:11" x14ac:dyDescent="0.35">
      <c r="A232" t="s">
        <v>15</v>
      </c>
      <c r="B232">
        <v>2019</v>
      </c>
      <c r="C232" t="s">
        <v>20</v>
      </c>
      <c r="D232">
        <v>139.54615380000001</v>
      </c>
      <c r="E232">
        <v>164.9</v>
      </c>
      <c r="F232">
        <v>145.46666669999999</v>
      </c>
      <c r="G232">
        <v>149.4</v>
      </c>
      <c r="H232">
        <v>141.19999999999999</v>
      </c>
      <c r="I232">
        <v>143.80000000000001</v>
      </c>
      <c r="J232">
        <v>139.5</v>
      </c>
      <c r="K232">
        <v>142.9</v>
      </c>
    </row>
    <row r="233" spans="1:11" x14ac:dyDescent="0.35">
      <c r="A233" t="s">
        <v>11</v>
      </c>
      <c r="B233">
        <v>2019</v>
      </c>
      <c r="C233" t="s">
        <v>21</v>
      </c>
      <c r="D233">
        <v>140.53076920000001</v>
      </c>
      <c r="E233">
        <v>164.5</v>
      </c>
      <c r="F233">
        <v>149.69999999999999</v>
      </c>
      <c r="G233" t="str">
        <f>""</f>
        <v/>
      </c>
      <c r="H233">
        <v>146.80000000000001</v>
      </c>
      <c r="I233">
        <v>150</v>
      </c>
      <c r="J233">
        <v>145.05000000000001</v>
      </c>
      <c r="K233">
        <v>144.9</v>
      </c>
    </row>
    <row r="234" spans="1:11" x14ac:dyDescent="0.35">
      <c r="A234" t="s">
        <v>14</v>
      </c>
      <c r="B234">
        <v>2019</v>
      </c>
      <c r="C234" t="s">
        <v>21</v>
      </c>
      <c r="D234">
        <v>142.8769231</v>
      </c>
      <c r="E234">
        <v>167.2</v>
      </c>
      <c r="F234">
        <v>139.7666667</v>
      </c>
      <c r="G234">
        <v>150.6</v>
      </c>
      <c r="H234">
        <v>127</v>
      </c>
      <c r="I234">
        <v>137.69999999999999</v>
      </c>
      <c r="J234">
        <v>136.06666670000001</v>
      </c>
      <c r="K234">
        <v>143.30000000000001</v>
      </c>
    </row>
    <row r="235" spans="1:11" x14ac:dyDescent="0.35">
      <c r="A235" t="s">
        <v>15</v>
      </c>
      <c r="B235">
        <v>2019</v>
      </c>
      <c r="C235" t="s">
        <v>21</v>
      </c>
      <c r="D235">
        <v>141.3461538</v>
      </c>
      <c r="E235">
        <v>165.2</v>
      </c>
      <c r="F235">
        <v>145.66666670000001</v>
      </c>
      <c r="G235">
        <v>150.6</v>
      </c>
      <c r="H235">
        <v>139.30000000000001</v>
      </c>
      <c r="I235">
        <v>144.19999999999999</v>
      </c>
      <c r="J235">
        <v>140.53333330000001</v>
      </c>
      <c r="K235">
        <v>144.19999999999999</v>
      </c>
    </row>
    <row r="236" spans="1:11" x14ac:dyDescent="0.35">
      <c r="A236" t="s">
        <v>11</v>
      </c>
      <c r="B236">
        <v>2019</v>
      </c>
      <c r="C236" t="s">
        <v>22</v>
      </c>
      <c r="D236">
        <v>141.1153846</v>
      </c>
      <c r="E236">
        <v>165.1</v>
      </c>
      <c r="F236">
        <v>149.83333329999999</v>
      </c>
      <c r="G236" t="str">
        <f>""</f>
        <v/>
      </c>
      <c r="H236">
        <v>146.4</v>
      </c>
      <c r="I236">
        <v>150.19999999999999</v>
      </c>
      <c r="J236">
        <v>145.91666670000001</v>
      </c>
      <c r="K236">
        <v>145.69999999999999</v>
      </c>
    </row>
    <row r="237" spans="1:11" x14ac:dyDescent="0.35">
      <c r="A237" t="s">
        <v>14</v>
      </c>
      <c r="B237">
        <v>2019</v>
      </c>
      <c r="C237" t="s">
        <v>22</v>
      </c>
      <c r="D237">
        <v>143.7769231</v>
      </c>
      <c r="E237">
        <v>167.9</v>
      </c>
      <c r="F237">
        <v>140.06666670000001</v>
      </c>
      <c r="G237">
        <v>151.6</v>
      </c>
      <c r="H237">
        <v>125.5</v>
      </c>
      <c r="I237">
        <v>138.1</v>
      </c>
      <c r="J237">
        <v>137.05000000000001</v>
      </c>
      <c r="K237">
        <v>144.19999999999999</v>
      </c>
    </row>
    <row r="238" spans="1:11" x14ac:dyDescent="0.35">
      <c r="A238" t="s">
        <v>15</v>
      </c>
      <c r="B238">
        <v>2019</v>
      </c>
      <c r="C238" t="s">
        <v>22</v>
      </c>
      <c r="D238">
        <v>142.03846150000001</v>
      </c>
      <c r="E238">
        <v>165.8</v>
      </c>
      <c r="F238">
        <v>145.8666667</v>
      </c>
      <c r="G238">
        <v>151.6</v>
      </c>
      <c r="H238">
        <v>138.5</v>
      </c>
      <c r="I238">
        <v>144.5</v>
      </c>
      <c r="J238">
        <v>141.44999999999999</v>
      </c>
      <c r="K238">
        <v>145</v>
      </c>
    </row>
    <row r="239" spans="1:11" x14ac:dyDescent="0.35">
      <c r="A239" t="s">
        <v>11</v>
      </c>
      <c r="B239">
        <v>2019</v>
      </c>
      <c r="C239" t="s">
        <v>23</v>
      </c>
      <c r="D239">
        <v>142.20769229999999</v>
      </c>
      <c r="E239">
        <v>165.7</v>
      </c>
      <c r="F239">
        <v>149.7666667</v>
      </c>
      <c r="G239" t="str">
        <f>""</f>
        <v/>
      </c>
      <c r="H239">
        <v>146.9</v>
      </c>
      <c r="I239">
        <v>150.30000000000001</v>
      </c>
      <c r="J239">
        <v>146.5166667</v>
      </c>
      <c r="K239">
        <v>146.69999999999999</v>
      </c>
    </row>
    <row r="240" spans="1:11" x14ac:dyDescent="0.35">
      <c r="A240" t="s">
        <v>14</v>
      </c>
      <c r="B240">
        <v>2019</v>
      </c>
      <c r="C240" t="s">
        <v>23</v>
      </c>
      <c r="D240">
        <v>144.2230769</v>
      </c>
      <c r="E240">
        <v>168.6</v>
      </c>
      <c r="F240">
        <v>140.2666667</v>
      </c>
      <c r="G240">
        <v>152.19999999999999</v>
      </c>
      <c r="H240">
        <v>126.6</v>
      </c>
      <c r="I240">
        <v>138.30000000000001</v>
      </c>
      <c r="J240">
        <v>137.55000000000001</v>
      </c>
      <c r="K240">
        <v>144.69999999999999</v>
      </c>
    </row>
    <row r="241" spans="1:11" x14ac:dyDescent="0.35">
      <c r="A241" t="s">
        <v>15</v>
      </c>
      <c r="B241">
        <v>2019</v>
      </c>
      <c r="C241" t="s">
        <v>23</v>
      </c>
      <c r="D241">
        <v>142.9</v>
      </c>
      <c r="E241">
        <v>166.5</v>
      </c>
      <c r="F241">
        <v>145.9</v>
      </c>
      <c r="G241">
        <v>152.19999999999999</v>
      </c>
      <c r="H241">
        <v>139.19999999999999</v>
      </c>
      <c r="I241">
        <v>144.6</v>
      </c>
      <c r="J241">
        <v>142</v>
      </c>
      <c r="K241">
        <v>145.80000000000001</v>
      </c>
    </row>
    <row r="242" spans="1:11" x14ac:dyDescent="0.35">
      <c r="A242" t="s">
        <v>11</v>
      </c>
      <c r="B242">
        <v>2019</v>
      </c>
      <c r="C242" t="s">
        <v>24</v>
      </c>
      <c r="D242">
        <v>144.3769231</v>
      </c>
      <c r="E242">
        <v>166.3</v>
      </c>
      <c r="F242">
        <v>149.80000000000001</v>
      </c>
      <c r="G242" t="str">
        <f>""</f>
        <v/>
      </c>
      <c r="H242">
        <v>147.69999999999999</v>
      </c>
      <c r="I242">
        <v>150.6</v>
      </c>
      <c r="J242">
        <v>146.80000000000001</v>
      </c>
      <c r="K242">
        <v>148.30000000000001</v>
      </c>
    </row>
    <row r="243" spans="1:11" x14ac:dyDescent="0.35">
      <c r="A243" t="s">
        <v>14</v>
      </c>
      <c r="B243">
        <v>2019</v>
      </c>
      <c r="C243" t="s">
        <v>24</v>
      </c>
      <c r="D243">
        <v>146.35384619999999</v>
      </c>
      <c r="E243">
        <v>169.3</v>
      </c>
      <c r="F243">
        <v>140.7333333</v>
      </c>
      <c r="G243">
        <v>153</v>
      </c>
      <c r="H243">
        <v>128.9</v>
      </c>
      <c r="I243">
        <v>138.69999999999999</v>
      </c>
      <c r="J243">
        <v>137.8833333</v>
      </c>
      <c r="K243">
        <v>146</v>
      </c>
    </row>
    <row r="244" spans="1:11" x14ac:dyDescent="0.35">
      <c r="A244" t="s">
        <v>15</v>
      </c>
      <c r="B244">
        <v>2019</v>
      </c>
      <c r="C244" t="s">
        <v>24</v>
      </c>
      <c r="D244">
        <v>145.04615380000001</v>
      </c>
      <c r="E244">
        <v>167.1</v>
      </c>
      <c r="F244">
        <v>146.1333333</v>
      </c>
      <c r="G244">
        <v>153</v>
      </c>
      <c r="H244">
        <v>140.6</v>
      </c>
      <c r="I244">
        <v>145</v>
      </c>
      <c r="J244">
        <v>142.30000000000001</v>
      </c>
      <c r="K244">
        <v>147.19999999999999</v>
      </c>
    </row>
    <row r="245" spans="1:11" x14ac:dyDescent="0.35">
      <c r="A245" t="s">
        <v>11</v>
      </c>
      <c r="B245">
        <v>2019</v>
      </c>
      <c r="C245" t="s">
        <v>26</v>
      </c>
      <c r="D245">
        <v>146.5076923</v>
      </c>
      <c r="E245">
        <v>167.2</v>
      </c>
      <c r="F245">
        <v>150.2666667</v>
      </c>
      <c r="G245" t="str">
        <f>""</f>
        <v/>
      </c>
      <c r="H245">
        <v>148.4</v>
      </c>
      <c r="I245">
        <v>150.9</v>
      </c>
      <c r="J245">
        <v>147.16666670000001</v>
      </c>
      <c r="K245">
        <v>149.9</v>
      </c>
    </row>
    <row r="246" spans="1:11" x14ac:dyDescent="0.35">
      <c r="A246" t="s">
        <v>14</v>
      </c>
      <c r="B246">
        <v>2019</v>
      </c>
      <c r="C246" t="s">
        <v>26</v>
      </c>
      <c r="D246">
        <v>148</v>
      </c>
      <c r="E246">
        <v>169.9</v>
      </c>
      <c r="F246">
        <v>141.03333330000001</v>
      </c>
      <c r="G246">
        <v>153.5</v>
      </c>
      <c r="H246">
        <v>132.19999999999999</v>
      </c>
      <c r="I246">
        <v>139.1</v>
      </c>
      <c r="J246">
        <v>138.18333329999999</v>
      </c>
      <c r="K246">
        <v>147</v>
      </c>
    </row>
    <row r="247" spans="1:11" x14ac:dyDescent="0.35">
      <c r="A247" t="s">
        <v>15</v>
      </c>
      <c r="B247">
        <v>2019</v>
      </c>
      <c r="C247" t="s">
        <v>26</v>
      </c>
      <c r="D247">
        <v>146.9923077</v>
      </c>
      <c r="E247">
        <v>167.9</v>
      </c>
      <c r="F247">
        <v>146.5</v>
      </c>
      <c r="G247">
        <v>153.5</v>
      </c>
      <c r="H247">
        <v>142.30000000000001</v>
      </c>
      <c r="I247">
        <v>145.30000000000001</v>
      </c>
      <c r="J247">
        <v>142.6166667</v>
      </c>
      <c r="K247">
        <v>148.6</v>
      </c>
    </row>
    <row r="248" spans="1:11" x14ac:dyDescent="0.35">
      <c r="A248" t="s">
        <v>11</v>
      </c>
      <c r="B248">
        <v>2019</v>
      </c>
      <c r="C248" t="s">
        <v>27</v>
      </c>
      <c r="D248">
        <v>149.30769230000001</v>
      </c>
      <c r="E248">
        <v>167.8</v>
      </c>
      <c r="F248">
        <v>150.6</v>
      </c>
      <c r="G248" t="str">
        <f>""</f>
        <v/>
      </c>
      <c r="H248">
        <v>149.9</v>
      </c>
      <c r="I248">
        <v>151.19999999999999</v>
      </c>
      <c r="J248">
        <v>148.0166667</v>
      </c>
      <c r="K248">
        <v>152.30000000000001</v>
      </c>
    </row>
    <row r="249" spans="1:11" x14ac:dyDescent="0.35">
      <c r="A249" t="s">
        <v>14</v>
      </c>
      <c r="B249">
        <v>2019</v>
      </c>
      <c r="C249" t="s">
        <v>27</v>
      </c>
      <c r="D249">
        <v>150.5153846</v>
      </c>
      <c r="E249">
        <v>170.4</v>
      </c>
      <c r="F249">
        <v>141.4</v>
      </c>
      <c r="G249">
        <v>152.80000000000001</v>
      </c>
      <c r="H249">
        <v>133.6</v>
      </c>
      <c r="I249">
        <v>139.80000000000001</v>
      </c>
      <c r="J249">
        <v>139.16666670000001</v>
      </c>
      <c r="K249">
        <v>148.30000000000001</v>
      </c>
    </row>
    <row r="250" spans="1:11" x14ac:dyDescent="0.35">
      <c r="A250" t="s">
        <v>15</v>
      </c>
      <c r="B250">
        <v>2019</v>
      </c>
      <c r="C250" t="s">
        <v>27</v>
      </c>
      <c r="D250">
        <v>149.69999999999999</v>
      </c>
      <c r="E250">
        <v>168.5</v>
      </c>
      <c r="F250">
        <v>146.8666667</v>
      </c>
      <c r="G250">
        <v>152.80000000000001</v>
      </c>
      <c r="H250">
        <v>143.69999999999999</v>
      </c>
      <c r="I250">
        <v>145.80000000000001</v>
      </c>
      <c r="J250">
        <v>143.5166667</v>
      </c>
      <c r="K250">
        <v>150.4</v>
      </c>
    </row>
    <row r="251" spans="1:11" x14ac:dyDescent="0.35">
      <c r="A251" t="s">
        <v>11</v>
      </c>
      <c r="B251">
        <v>2020</v>
      </c>
      <c r="C251" t="s">
        <v>12</v>
      </c>
      <c r="D251">
        <v>149.1230769</v>
      </c>
      <c r="E251">
        <v>168.6</v>
      </c>
      <c r="F251">
        <v>150.7666667</v>
      </c>
      <c r="G251" t="str">
        <f>""</f>
        <v/>
      </c>
      <c r="H251">
        <v>150.4</v>
      </c>
      <c r="I251">
        <v>151.69999999999999</v>
      </c>
      <c r="J251">
        <v>149.06666670000001</v>
      </c>
      <c r="K251">
        <v>151.9</v>
      </c>
    </row>
    <row r="252" spans="1:11" x14ac:dyDescent="0.35">
      <c r="A252" t="s">
        <v>14</v>
      </c>
      <c r="B252">
        <v>2020</v>
      </c>
      <c r="C252" t="s">
        <v>12</v>
      </c>
      <c r="D252">
        <v>149.64615380000001</v>
      </c>
      <c r="E252">
        <v>170.8</v>
      </c>
      <c r="F252">
        <v>141.69999999999999</v>
      </c>
      <c r="G252">
        <v>153.9</v>
      </c>
      <c r="H252">
        <v>135.1</v>
      </c>
      <c r="I252">
        <v>140.1</v>
      </c>
      <c r="J252">
        <v>139.94999999999999</v>
      </c>
      <c r="K252">
        <v>148.19999999999999</v>
      </c>
    </row>
    <row r="253" spans="1:11" x14ac:dyDescent="0.35">
      <c r="A253" t="s">
        <v>15</v>
      </c>
      <c r="B253">
        <v>2020</v>
      </c>
      <c r="C253" t="s">
        <v>12</v>
      </c>
      <c r="D253">
        <v>149.2615385</v>
      </c>
      <c r="E253">
        <v>169.2</v>
      </c>
      <c r="F253">
        <v>147.06666670000001</v>
      </c>
      <c r="G253">
        <v>153.9</v>
      </c>
      <c r="H253">
        <v>144.6</v>
      </c>
      <c r="I253">
        <v>146.19999999999999</v>
      </c>
      <c r="J253">
        <v>144.44999999999999</v>
      </c>
      <c r="K253">
        <v>150.19999999999999</v>
      </c>
    </row>
    <row r="254" spans="1:11" x14ac:dyDescent="0.35">
      <c r="A254" t="s">
        <v>11</v>
      </c>
      <c r="B254">
        <v>2020</v>
      </c>
      <c r="C254" t="s">
        <v>16</v>
      </c>
      <c r="D254">
        <v>146.90769230000001</v>
      </c>
      <c r="E254">
        <v>169.4</v>
      </c>
      <c r="F254">
        <v>150.93333329999999</v>
      </c>
      <c r="G254" t="str">
        <f>""</f>
        <v/>
      </c>
      <c r="H254">
        <v>152.30000000000001</v>
      </c>
      <c r="I254">
        <v>151.80000000000001</v>
      </c>
      <c r="J254">
        <v>149.3833333</v>
      </c>
      <c r="K254">
        <v>150.4</v>
      </c>
    </row>
    <row r="255" spans="1:11" x14ac:dyDescent="0.35">
      <c r="A255" t="s">
        <v>14</v>
      </c>
      <c r="B255">
        <v>2020</v>
      </c>
      <c r="C255" t="s">
        <v>16</v>
      </c>
      <c r="D255">
        <v>147.43076919999999</v>
      </c>
      <c r="E255">
        <v>172</v>
      </c>
      <c r="F255">
        <v>142</v>
      </c>
      <c r="G255">
        <v>154.80000000000001</v>
      </c>
      <c r="H255">
        <v>138.9</v>
      </c>
      <c r="I255">
        <v>140.4</v>
      </c>
      <c r="J255">
        <v>140.2333333</v>
      </c>
      <c r="K255">
        <v>147.69999999999999</v>
      </c>
    </row>
    <row r="256" spans="1:11" x14ac:dyDescent="0.35">
      <c r="A256" t="s">
        <v>15</v>
      </c>
      <c r="B256">
        <v>2020</v>
      </c>
      <c r="C256" t="s">
        <v>16</v>
      </c>
      <c r="D256">
        <v>147.04615380000001</v>
      </c>
      <c r="E256">
        <v>170.1</v>
      </c>
      <c r="F256">
        <v>147.33333329999999</v>
      </c>
      <c r="G256">
        <v>154.80000000000001</v>
      </c>
      <c r="H256">
        <v>147.19999999999999</v>
      </c>
      <c r="I256">
        <v>146.4</v>
      </c>
      <c r="J256">
        <v>144.7333333</v>
      </c>
      <c r="K256">
        <v>149.1</v>
      </c>
    </row>
    <row r="257" spans="1:11" x14ac:dyDescent="0.35">
      <c r="A257" t="s">
        <v>11</v>
      </c>
      <c r="B257">
        <v>2020</v>
      </c>
      <c r="C257" t="s">
        <v>17</v>
      </c>
      <c r="D257">
        <v>145.7384615</v>
      </c>
      <c r="E257">
        <v>170.5</v>
      </c>
      <c r="F257">
        <v>151.16666670000001</v>
      </c>
      <c r="G257" t="str">
        <f>""</f>
        <v/>
      </c>
      <c r="H257">
        <v>153.4</v>
      </c>
      <c r="I257">
        <v>151.5</v>
      </c>
      <c r="J257">
        <v>149.7666667</v>
      </c>
      <c r="K257">
        <v>149.80000000000001</v>
      </c>
    </row>
    <row r="258" spans="1:11" x14ac:dyDescent="0.35">
      <c r="A258" t="s">
        <v>14</v>
      </c>
      <c r="B258">
        <v>2020</v>
      </c>
      <c r="C258" t="s">
        <v>17</v>
      </c>
      <c r="D258">
        <v>146.03846150000001</v>
      </c>
      <c r="E258">
        <v>173.3</v>
      </c>
      <c r="F258">
        <v>142.3666667</v>
      </c>
      <c r="G258">
        <v>154.5</v>
      </c>
      <c r="H258">
        <v>141.4</v>
      </c>
      <c r="I258">
        <v>140.80000000000001</v>
      </c>
      <c r="J258">
        <v>140.66666670000001</v>
      </c>
      <c r="K258">
        <v>147.30000000000001</v>
      </c>
    </row>
    <row r="259" spans="1:11" x14ac:dyDescent="0.35">
      <c r="A259" t="s">
        <v>15</v>
      </c>
      <c r="B259">
        <v>2020</v>
      </c>
      <c r="C259" t="s">
        <v>17</v>
      </c>
      <c r="D259">
        <v>145.80000000000001</v>
      </c>
      <c r="E259">
        <v>171.2</v>
      </c>
      <c r="F259">
        <v>147.6333333</v>
      </c>
      <c r="G259">
        <v>154.5</v>
      </c>
      <c r="H259">
        <v>148.9</v>
      </c>
      <c r="I259">
        <v>146.4</v>
      </c>
      <c r="J259">
        <v>145.16666670000001</v>
      </c>
      <c r="K259">
        <v>148.6</v>
      </c>
    </row>
    <row r="260" spans="1:11" x14ac:dyDescent="0.35">
      <c r="A260" t="s">
        <v>11</v>
      </c>
      <c r="B260">
        <v>2020</v>
      </c>
      <c r="C260" t="s">
        <v>18</v>
      </c>
      <c r="D260">
        <v>146.80000000000001</v>
      </c>
      <c r="E260" t="str">
        <f>""</f>
        <v/>
      </c>
      <c r="F260" t="str">
        <f>""</f>
        <v/>
      </c>
      <c r="G260" t="str">
        <f>""</f>
        <v/>
      </c>
      <c r="H260">
        <v>148.4</v>
      </c>
      <c r="I260" t="str">
        <f>""</f>
        <v/>
      </c>
      <c r="J260">
        <v>154.30000000000001</v>
      </c>
      <c r="K260" t="str">
        <f>""</f>
        <v/>
      </c>
    </row>
    <row r="261" spans="1:11" x14ac:dyDescent="0.35">
      <c r="A261" t="s">
        <v>14</v>
      </c>
      <c r="B261">
        <v>2020</v>
      </c>
      <c r="C261" t="s">
        <v>18</v>
      </c>
      <c r="D261">
        <v>148.79090909999999</v>
      </c>
      <c r="E261" t="str">
        <f>""</f>
        <v/>
      </c>
      <c r="F261" t="str">
        <f>""</f>
        <v/>
      </c>
      <c r="G261">
        <v>155.6</v>
      </c>
      <c r="H261">
        <v>137.1</v>
      </c>
      <c r="I261" t="str">
        <f>""</f>
        <v/>
      </c>
      <c r="J261">
        <v>144.80000000000001</v>
      </c>
      <c r="K261" t="str">
        <f>""</f>
        <v/>
      </c>
    </row>
    <row r="262" spans="1:11" x14ac:dyDescent="0.35">
      <c r="A262" t="s">
        <v>15</v>
      </c>
      <c r="B262">
        <v>2020</v>
      </c>
      <c r="C262" t="s">
        <v>18</v>
      </c>
      <c r="D262">
        <v>147.51818180000001</v>
      </c>
      <c r="E262" t="str">
        <f>""</f>
        <v/>
      </c>
      <c r="F262" t="str">
        <f>""</f>
        <v/>
      </c>
      <c r="G262">
        <v>155.6</v>
      </c>
      <c r="H262">
        <v>144.1</v>
      </c>
      <c r="I262" t="str">
        <f>""</f>
        <v/>
      </c>
      <c r="J262">
        <v>150.69999999999999</v>
      </c>
      <c r="K262" t="str">
        <f>""</f>
        <v/>
      </c>
    </row>
    <row r="263" spans="1:11" x14ac:dyDescent="0.35">
      <c r="A263" t="s">
        <v>11</v>
      </c>
      <c r="B263">
        <v>2020</v>
      </c>
      <c r="C263" t="s">
        <v>19</v>
      </c>
      <c r="D263" t="str">
        <f>""</f>
        <v/>
      </c>
      <c r="E263" t="str">
        <f>""</f>
        <v/>
      </c>
      <c r="F263" t="str">
        <f>""</f>
        <v/>
      </c>
      <c r="G263" t="str">
        <f>""</f>
        <v/>
      </c>
      <c r="H263" t="str">
        <f>""</f>
        <v/>
      </c>
      <c r="I263" t="str">
        <f>""</f>
        <v/>
      </c>
      <c r="J263" t="str">
        <f>""</f>
        <v/>
      </c>
      <c r="K263" t="str">
        <f>""</f>
        <v/>
      </c>
    </row>
    <row r="264" spans="1:11" x14ac:dyDescent="0.35">
      <c r="A264" t="s">
        <v>14</v>
      </c>
      <c r="B264">
        <v>2020</v>
      </c>
      <c r="C264" t="s">
        <v>19</v>
      </c>
      <c r="D264" t="str">
        <f>""</f>
        <v/>
      </c>
      <c r="E264" t="str">
        <f>""</f>
        <v/>
      </c>
      <c r="F264" t="str">
        <f>""</f>
        <v/>
      </c>
      <c r="G264" t="str">
        <f>""</f>
        <v/>
      </c>
      <c r="H264" t="str">
        <f>""</f>
        <v/>
      </c>
      <c r="I264" t="str">
        <f>""</f>
        <v/>
      </c>
      <c r="J264" t="str">
        <f>""</f>
        <v/>
      </c>
      <c r="K264" t="str">
        <f>""</f>
        <v/>
      </c>
    </row>
    <row r="265" spans="1:11" x14ac:dyDescent="0.35">
      <c r="A265" t="s">
        <v>15</v>
      </c>
      <c r="B265">
        <v>2020</v>
      </c>
      <c r="C265" t="s">
        <v>19</v>
      </c>
      <c r="D265" t="str">
        <f>""</f>
        <v/>
      </c>
      <c r="E265" t="str">
        <f>""</f>
        <v/>
      </c>
      <c r="F265" t="str">
        <f>""</f>
        <v/>
      </c>
      <c r="G265" t="str">
        <f>""</f>
        <v/>
      </c>
      <c r="H265" t="str">
        <f>""</f>
        <v/>
      </c>
      <c r="I265" t="str">
        <f>""</f>
        <v/>
      </c>
      <c r="J265" t="str">
        <f>""</f>
        <v/>
      </c>
      <c r="K265" t="str">
        <f>""</f>
        <v/>
      </c>
    </row>
    <row r="266" spans="1:11" x14ac:dyDescent="0.35">
      <c r="A266" t="s">
        <v>11</v>
      </c>
      <c r="B266">
        <v>2020</v>
      </c>
      <c r="C266" t="s">
        <v>20</v>
      </c>
      <c r="D266">
        <v>150.07692309999999</v>
      </c>
      <c r="E266">
        <v>182.4</v>
      </c>
      <c r="F266">
        <v>152.93333329999999</v>
      </c>
      <c r="G266" t="str">
        <f>""</f>
        <v/>
      </c>
      <c r="H266">
        <v>144.9</v>
      </c>
      <c r="I266">
        <v>151.69999999999999</v>
      </c>
      <c r="J266">
        <v>152.91666670000001</v>
      </c>
      <c r="K266">
        <v>152.69999999999999</v>
      </c>
    </row>
    <row r="267" spans="1:11" x14ac:dyDescent="0.35">
      <c r="A267" t="s">
        <v>14</v>
      </c>
      <c r="B267">
        <v>2020</v>
      </c>
      <c r="C267" t="s">
        <v>20</v>
      </c>
      <c r="D267">
        <v>153.46153849999999</v>
      </c>
      <c r="E267">
        <v>186.7</v>
      </c>
      <c r="F267">
        <v>144.30000000000001</v>
      </c>
      <c r="G267">
        <v>154.69999999999999</v>
      </c>
      <c r="H267">
        <v>137.1</v>
      </c>
      <c r="I267">
        <v>140.4</v>
      </c>
      <c r="J267">
        <v>144.7666667</v>
      </c>
      <c r="K267">
        <v>150.80000000000001</v>
      </c>
    </row>
    <row r="268" spans="1:11" x14ac:dyDescent="0.35">
      <c r="A268" t="s">
        <v>15</v>
      </c>
      <c r="B268">
        <v>2020</v>
      </c>
      <c r="C268" t="s">
        <v>20</v>
      </c>
      <c r="D268">
        <v>151.29230770000001</v>
      </c>
      <c r="E268">
        <v>183.5</v>
      </c>
      <c r="F268">
        <v>149.43333329999999</v>
      </c>
      <c r="G268">
        <v>154.69999999999999</v>
      </c>
      <c r="H268">
        <v>141.9</v>
      </c>
      <c r="I268">
        <v>146.4</v>
      </c>
      <c r="J268">
        <v>148.78333330000001</v>
      </c>
      <c r="K268">
        <v>151.80000000000001</v>
      </c>
    </row>
    <row r="269" spans="1:11" x14ac:dyDescent="0.35">
      <c r="A269" t="s">
        <v>11</v>
      </c>
      <c r="B269">
        <v>2020</v>
      </c>
      <c r="C269" t="s">
        <v>21</v>
      </c>
      <c r="D269">
        <v>150.07692309999999</v>
      </c>
      <c r="E269">
        <v>182.4</v>
      </c>
      <c r="F269">
        <v>152.93333329999999</v>
      </c>
      <c r="G269" t="str">
        <f>""</f>
        <v/>
      </c>
      <c r="H269">
        <v>144.9</v>
      </c>
      <c r="I269">
        <v>151.69999999999999</v>
      </c>
      <c r="J269">
        <v>152.91666670000001</v>
      </c>
      <c r="K269">
        <v>152.69999999999999</v>
      </c>
    </row>
    <row r="270" spans="1:11" x14ac:dyDescent="0.35">
      <c r="A270" t="s">
        <v>14</v>
      </c>
      <c r="B270">
        <v>2020</v>
      </c>
      <c r="C270" t="s">
        <v>21</v>
      </c>
      <c r="D270">
        <v>153.46153849999999</v>
      </c>
      <c r="E270">
        <v>186.7</v>
      </c>
      <c r="F270">
        <v>144.30000000000001</v>
      </c>
      <c r="G270">
        <v>154.69999999999999</v>
      </c>
      <c r="H270">
        <v>137.1</v>
      </c>
      <c r="I270">
        <v>140.4</v>
      </c>
      <c r="J270">
        <v>144.7666667</v>
      </c>
      <c r="K270">
        <v>150.80000000000001</v>
      </c>
    </row>
    <row r="271" spans="1:11" x14ac:dyDescent="0.35">
      <c r="A271" t="s">
        <v>15</v>
      </c>
      <c r="B271">
        <v>2020</v>
      </c>
      <c r="C271" t="s">
        <v>21</v>
      </c>
      <c r="D271">
        <v>151.29230770000001</v>
      </c>
      <c r="E271">
        <v>183.5</v>
      </c>
      <c r="F271">
        <v>149.43333329999999</v>
      </c>
      <c r="G271">
        <v>154.69999999999999</v>
      </c>
      <c r="H271">
        <v>141.9</v>
      </c>
      <c r="I271">
        <v>146.4</v>
      </c>
      <c r="J271">
        <v>148.78333330000001</v>
      </c>
      <c r="K271">
        <v>151.80000000000001</v>
      </c>
    </row>
    <row r="272" spans="1:11" x14ac:dyDescent="0.35">
      <c r="A272" t="s">
        <v>11</v>
      </c>
      <c r="B272">
        <v>2020</v>
      </c>
      <c r="C272" t="s">
        <v>22</v>
      </c>
      <c r="D272">
        <v>152.19999999999999</v>
      </c>
      <c r="E272">
        <v>180.9</v>
      </c>
      <c r="F272">
        <v>152.9</v>
      </c>
      <c r="G272" t="str">
        <f>""</f>
        <v/>
      </c>
      <c r="H272">
        <v>145.80000000000001</v>
      </c>
      <c r="I272">
        <v>151.9</v>
      </c>
      <c r="J272">
        <v>153.9833333</v>
      </c>
      <c r="K272">
        <v>154.69999999999999</v>
      </c>
    </row>
    <row r="273" spans="1:11" x14ac:dyDescent="0.35">
      <c r="A273" t="s">
        <v>14</v>
      </c>
      <c r="B273">
        <v>2020</v>
      </c>
      <c r="C273" t="s">
        <v>22</v>
      </c>
      <c r="D273">
        <v>155.7615385</v>
      </c>
      <c r="E273">
        <v>187.2</v>
      </c>
      <c r="F273">
        <v>144.33333329999999</v>
      </c>
      <c r="G273">
        <v>155.5</v>
      </c>
      <c r="H273">
        <v>138.30000000000001</v>
      </c>
      <c r="I273">
        <v>144.5</v>
      </c>
      <c r="J273">
        <v>146.55000000000001</v>
      </c>
      <c r="K273">
        <v>152.9</v>
      </c>
    </row>
    <row r="274" spans="1:11" x14ac:dyDescent="0.35">
      <c r="A274" t="s">
        <v>15</v>
      </c>
      <c r="B274">
        <v>2020</v>
      </c>
      <c r="C274" t="s">
        <v>22</v>
      </c>
      <c r="D274">
        <v>153.47692309999999</v>
      </c>
      <c r="E274">
        <v>182.6</v>
      </c>
      <c r="F274">
        <v>149.4</v>
      </c>
      <c r="G274">
        <v>155.5</v>
      </c>
      <c r="H274">
        <v>143</v>
      </c>
      <c r="I274">
        <v>148.4</v>
      </c>
      <c r="J274">
        <v>150.21666669999999</v>
      </c>
      <c r="K274">
        <v>153.9</v>
      </c>
    </row>
    <row r="275" spans="1:11" x14ac:dyDescent="0.35">
      <c r="A275" t="s">
        <v>11</v>
      </c>
      <c r="B275">
        <v>2020</v>
      </c>
      <c r="C275" t="s">
        <v>23</v>
      </c>
      <c r="D275">
        <v>152.8769231</v>
      </c>
      <c r="E275">
        <v>182.9</v>
      </c>
      <c r="F275">
        <v>153.30000000000001</v>
      </c>
      <c r="G275" t="str">
        <f>""</f>
        <v/>
      </c>
      <c r="H275">
        <v>146.4</v>
      </c>
      <c r="I275">
        <v>151.6</v>
      </c>
      <c r="J275">
        <v>154.78333330000001</v>
      </c>
      <c r="K275">
        <v>155.4</v>
      </c>
    </row>
    <row r="276" spans="1:11" x14ac:dyDescent="0.35">
      <c r="A276" t="s">
        <v>14</v>
      </c>
      <c r="B276">
        <v>2020</v>
      </c>
      <c r="C276" t="s">
        <v>23</v>
      </c>
      <c r="D276">
        <v>157.04615380000001</v>
      </c>
      <c r="E276">
        <v>188.7</v>
      </c>
      <c r="F276">
        <v>144.8666667</v>
      </c>
      <c r="G276">
        <v>156.30000000000001</v>
      </c>
      <c r="H276">
        <v>137.19999999999999</v>
      </c>
      <c r="I276">
        <v>145.4</v>
      </c>
      <c r="J276">
        <v>147.93333329999999</v>
      </c>
      <c r="K276">
        <v>154</v>
      </c>
    </row>
    <row r="277" spans="1:11" x14ac:dyDescent="0.35">
      <c r="A277" t="s">
        <v>15</v>
      </c>
      <c r="B277">
        <v>2020</v>
      </c>
      <c r="C277" t="s">
        <v>23</v>
      </c>
      <c r="D277">
        <v>154.3846154</v>
      </c>
      <c r="E277">
        <v>184.4</v>
      </c>
      <c r="F277">
        <v>149.9</v>
      </c>
      <c r="G277">
        <v>156.30000000000001</v>
      </c>
      <c r="H277">
        <v>142.9</v>
      </c>
      <c r="I277">
        <v>148.69999999999999</v>
      </c>
      <c r="J277">
        <v>151.28333330000001</v>
      </c>
      <c r="K277">
        <v>154.69999999999999</v>
      </c>
    </row>
    <row r="278" spans="1:11" x14ac:dyDescent="0.35">
      <c r="A278" t="s">
        <v>11</v>
      </c>
      <c r="B278">
        <v>2020</v>
      </c>
      <c r="C278" t="s">
        <v>24</v>
      </c>
      <c r="D278">
        <v>156.2230769</v>
      </c>
      <c r="E278">
        <v>182.7</v>
      </c>
      <c r="F278">
        <v>153.7666667</v>
      </c>
      <c r="G278" t="str">
        <f>""</f>
        <v/>
      </c>
      <c r="H278">
        <v>146.80000000000001</v>
      </c>
      <c r="I278">
        <v>152</v>
      </c>
      <c r="J278">
        <v>155.21666669999999</v>
      </c>
      <c r="K278">
        <v>157.5</v>
      </c>
    </row>
    <row r="279" spans="1:11" x14ac:dyDescent="0.35">
      <c r="A279" t="s">
        <v>14</v>
      </c>
      <c r="B279">
        <v>2020</v>
      </c>
      <c r="C279" t="s">
        <v>24</v>
      </c>
      <c r="D279">
        <v>160.0153846</v>
      </c>
      <c r="E279">
        <v>188.7</v>
      </c>
      <c r="F279">
        <v>144.96666669999999</v>
      </c>
      <c r="G279">
        <v>156.5</v>
      </c>
      <c r="H279">
        <v>137.1</v>
      </c>
      <c r="I279">
        <v>145.1</v>
      </c>
      <c r="J279">
        <v>148.06666670000001</v>
      </c>
      <c r="K279">
        <v>155.19999999999999</v>
      </c>
    </row>
    <row r="280" spans="1:11" x14ac:dyDescent="0.35">
      <c r="A280" t="s">
        <v>15</v>
      </c>
      <c r="B280">
        <v>2020</v>
      </c>
      <c r="C280" t="s">
        <v>24</v>
      </c>
      <c r="D280">
        <v>157.58461539999999</v>
      </c>
      <c r="E280">
        <v>184.3</v>
      </c>
      <c r="F280">
        <v>150.19999999999999</v>
      </c>
      <c r="G280">
        <v>156.5</v>
      </c>
      <c r="H280">
        <v>143.1</v>
      </c>
      <c r="I280">
        <v>148.69999999999999</v>
      </c>
      <c r="J280">
        <v>151.55000000000001</v>
      </c>
      <c r="K280">
        <v>156.4</v>
      </c>
    </row>
    <row r="281" spans="1:11" x14ac:dyDescent="0.35">
      <c r="A281" t="s">
        <v>11</v>
      </c>
      <c r="B281">
        <v>2020</v>
      </c>
      <c r="C281" t="s">
        <v>26</v>
      </c>
      <c r="D281">
        <v>160.18461540000001</v>
      </c>
      <c r="E281">
        <v>183.4</v>
      </c>
      <c r="F281">
        <v>154.2666667</v>
      </c>
      <c r="G281" t="str">
        <f>""</f>
        <v/>
      </c>
      <c r="H281">
        <v>147.5</v>
      </c>
      <c r="I281">
        <v>152.80000000000001</v>
      </c>
      <c r="J281">
        <v>155.4</v>
      </c>
      <c r="K281">
        <v>159.80000000000001</v>
      </c>
    </row>
    <row r="282" spans="1:11" x14ac:dyDescent="0.35">
      <c r="A282" t="s">
        <v>14</v>
      </c>
      <c r="B282">
        <v>2020</v>
      </c>
      <c r="C282" t="s">
        <v>26</v>
      </c>
      <c r="D282">
        <v>163.1307692</v>
      </c>
      <c r="E282">
        <v>188.8</v>
      </c>
      <c r="F282">
        <v>145.43333329999999</v>
      </c>
      <c r="G282">
        <v>158</v>
      </c>
      <c r="H282">
        <v>137.30000000000001</v>
      </c>
      <c r="I282">
        <v>145.1</v>
      </c>
      <c r="J282">
        <v>148.75</v>
      </c>
      <c r="K282">
        <v>156.69999999999999</v>
      </c>
    </row>
    <row r="283" spans="1:11" x14ac:dyDescent="0.35">
      <c r="A283" t="s">
        <v>15</v>
      </c>
      <c r="B283">
        <v>2020</v>
      </c>
      <c r="C283" t="s">
        <v>26</v>
      </c>
      <c r="D283">
        <v>161.19999999999999</v>
      </c>
      <c r="E283">
        <v>184.8</v>
      </c>
      <c r="F283">
        <v>150.66666670000001</v>
      </c>
      <c r="G283">
        <v>158</v>
      </c>
      <c r="H283">
        <v>143.6</v>
      </c>
      <c r="I283">
        <v>149.19999999999999</v>
      </c>
      <c r="J283">
        <v>152.03333330000001</v>
      </c>
      <c r="K283">
        <v>158.4</v>
      </c>
    </row>
    <row r="284" spans="1:11" x14ac:dyDescent="0.35">
      <c r="A284" t="s">
        <v>11</v>
      </c>
      <c r="B284">
        <v>2020</v>
      </c>
      <c r="C284" t="s">
        <v>27</v>
      </c>
      <c r="D284">
        <v>161.57692309999999</v>
      </c>
      <c r="E284">
        <v>183.6</v>
      </c>
      <c r="F284">
        <v>154.96666669999999</v>
      </c>
      <c r="G284" t="str">
        <f>""</f>
        <v/>
      </c>
      <c r="H284">
        <v>148.69999999999999</v>
      </c>
      <c r="I284">
        <v>153.4</v>
      </c>
      <c r="J284">
        <v>156.1</v>
      </c>
      <c r="K284">
        <v>160.69999999999999</v>
      </c>
    </row>
    <row r="285" spans="1:11" x14ac:dyDescent="0.35">
      <c r="A285" t="s">
        <v>14</v>
      </c>
      <c r="B285">
        <v>2020</v>
      </c>
      <c r="C285" t="s">
        <v>27</v>
      </c>
      <c r="D285">
        <v>163.4923077</v>
      </c>
      <c r="E285">
        <v>190.2</v>
      </c>
      <c r="F285">
        <v>146.06666670000001</v>
      </c>
      <c r="G285">
        <v>158.4</v>
      </c>
      <c r="H285">
        <v>137.9</v>
      </c>
      <c r="I285">
        <v>145.5</v>
      </c>
      <c r="J285">
        <v>149.06666670000001</v>
      </c>
      <c r="K285">
        <v>156.9</v>
      </c>
    </row>
    <row r="286" spans="1:11" x14ac:dyDescent="0.35">
      <c r="A286" t="s">
        <v>15</v>
      </c>
      <c r="B286">
        <v>2020</v>
      </c>
      <c r="C286" t="s">
        <v>27</v>
      </c>
      <c r="D286">
        <v>162.2384615</v>
      </c>
      <c r="E286">
        <v>185.4</v>
      </c>
      <c r="F286">
        <v>151.33333329999999</v>
      </c>
      <c r="G286">
        <v>158.4</v>
      </c>
      <c r="H286">
        <v>144.6</v>
      </c>
      <c r="I286">
        <v>149.69999999999999</v>
      </c>
      <c r="J286">
        <v>152.53333330000001</v>
      </c>
      <c r="K286">
        <v>158.9</v>
      </c>
    </row>
    <row r="287" spans="1:11" x14ac:dyDescent="0.35">
      <c r="A287" t="s">
        <v>11</v>
      </c>
      <c r="B287">
        <v>2021</v>
      </c>
      <c r="C287" t="s">
        <v>12</v>
      </c>
      <c r="D287">
        <v>158.9</v>
      </c>
      <c r="E287">
        <v>184.6</v>
      </c>
      <c r="F287">
        <v>155.56666670000001</v>
      </c>
      <c r="G287" t="str">
        <f>""</f>
        <v/>
      </c>
      <c r="H287">
        <v>150.9</v>
      </c>
      <c r="I287">
        <v>153.9</v>
      </c>
      <c r="J287">
        <v>156.78333330000001</v>
      </c>
      <c r="K287">
        <v>158.5</v>
      </c>
    </row>
    <row r="288" spans="1:11" x14ac:dyDescent="0.35">
      <c r="A288" t="s">
        <v>14</v>
      </c>
      <c r="B288">
        <v>2021</v>
      </c>
      <c r="C288" t="s">
        <v>12</v>
      </c>
      <c r="D288">
        <v>161.30769230000001</v>
      </c>
      <c r="E288">
        <v>191.8</v>
      </c>
      <c r="F288">
        <v>146.66666670000001</v>
      </c>
      <c r="G288">
        <v>157.69999999999999</v>
      </c>
      <c r="H288">
        <v>142.9</v>
      </c>
      <c r="I288">
        <v>145.69999999999999</v>
      </c>
      <c r="J288">
        <v>149.6333333</v>
      </c>
      <c r="K288">
        <v>156</v>
      </c>
    </row>
    <row r="289" spans="1:11" x14ac:dyDescent="0.35">
      <c r="A289" t="s">
        <v>15</v>
      </c>
      <c r="B289">
        <v>2021</v>
      </c>
      <c r="C289" t="s">
        <v>12</v>
      </c>
      <c r="D289">
        <v>159.7307692</v>
      </c>
      <c r="E289">
        <v>186.5</v>
      </c>
      <c r="F289">
        <v>151.93333329999999</v>
      </c>
      <c r="G289">
        <v>157.69999999999999</v>
      </c>
      <c r="H289">
        <v>147.9</v>
      </c>
      <c r="I289">
        <v>150</v>
      </c>
      <c r="J289">
        <v>153.1166667</v>
      </c>
      <c r="K289">
        <v>157.30000000000001</v>
      </c>
    </row>
    <row r="290" spans="1:11" x14ac:dyDescent="0.35">
      <c r="A290" t="s">
        <v>11</v>
      </c>
      <c r="B290">
        <v>2021</v>
      </c>
      <c r="C290" t="s">
        <v>16</v>
      </c>
      <c r="D290">
        <v>155.79230770000001</v>
      </c>
      <c r="E290">
        <v>186.5</v>
      </c>
      <c r="F290">
        <v>157.1333333</v>
      </c>
      <c r="G290" t="str">
        <f>""</f>
        <v/>
      </c>
      <c r="H290">
        <v>154.4</v>
      </c>
      <c r="I290">
        <v>154.80000000000001</v>
      </c>
      <c r="J290">
        <v>157.91666670000001</v>
      </c>
      <c r="K290">
        <v>156.69999999999999</v>
      </c>
    </row>
    <row r="291" spans="1:11" x14ac:dyDescent="0.35">
      <c r="A291" t="s">
        <v>14</v>
      </c>
      <c r="B291">
        <v>2021</v>
      </c>
      <c r="C291" t="s">
        <v>16</v>
      </c>
      <c r="D291">
        <v>158.92307690000001</v>
      </c>
      <c r="E291">
        <v>193.3</v>
      </c>
      <c r="F291">
        <v>148.06666670000001</v>
      </c>
      <c r="G291">
        <v>159.80000000000001</v>
      </c>
      <c r="H291">
        <v>149.1</v>
      </c>
      <c r="I291">
        <v>146.5</v>
      </c>
      <c r="J291">
        <v>151.1166667</v>
      </c>
      <c r="K291">
        <v>156.5</v>
      </c>
    </row>
    <row r="292" spans="1:11" x14ac:dyDescent="0.35">
      <c r="A292" t="s">
        <v>15</v>
      </c>
      <c r="B292">
        <v>2021</v>
      </c>
      <c r="C292" t="s">
        <v>16</v>
      </c>
      <c r="D292">
        <v>156.8692308</v>
      </c>
      <c r="E292">
        <v>188.3</v>
      </c>
      <c r="F292">
        <v>153.46666669999999</v>
      </c>
      <c r="G292">
        <v>159.80000000000001</v>
      </c>
      <c r="H292">
        <v>152.4</v>
      </c>
      <c r="I292">
        <v>150.9</v>
      </c>
      <c r="J292">
        <v>154.43333329999999</v>
      </c>
      <c r="K292">
        <v>156.6</v>
      </c>
    </row>
    <row r="293" spans="1:11" x14ac:dyDescent="0.35">
      <c r="A293" t="s">
        <v>11</v>
      </c>
      <c r="B293">
        <v>2021</v>
      </c>
      <c r="C293" t="s">
        <v>17</v>
      </c>
      <c r="D293">
        <v>155.82307689999999</v>
      </c>
      <c r="E293">
        <v>186.1</v>
      </c>
      <c r="F293">
        <v>157.6333333</v>
      </c>
      <c r="G293" t="str">
        <f>""</f>
        <v/>
      </c>
      <c r="H293">
        <v>156</v>
      </c>
      <c r="I293">
        <v>154.80000000000001</v>
      </c>
      <c r="J293">
        <v>157.9833333</v>
      </c>
      <c r="K293">
        <v>156.69999999999999</v>
      </c>
    </row>
    <row r="294" spans="1:11" x14ac:dyDescent="0.35">
      <c r="A294" t="s">
        <v>14</v>
      </c>
      <c r="B294">
        <v>2021</v>
      </c>
      <c r="C294" t="s">
        <v>17</v>
      </c>
      <c r="D294">
        <v>158.80769230000001</v>
      </c>
      <c r="E294">
        <v>193.5</v>
      </c>
      <c r="F294">
        <v>148.80000000000001</v>
      </c>
      <c r="G294">
        <v>159.9</v>
      </c>
      <c r="H294">
        <v>154.80000000000001</v>
      </c>
      <c r="I294">
        <v>147.19999999999999</v>
      </c>
      <c r="J294">
        <v>151.6166667</v>
      </c>
      <c r="K294">
        <v>156.9</v>
      </c>
    </row>
    <row r="295" spans="1:11" x14ac:dyDescent="0.35">
      <c r="A295" t="s">
        <v>15</v>
      </c>
      <c r="B295">
        <v>2021</v>
      </c>
      <c r="C295" t="s">
        <v>17</v>
      </c>
      <c r="D295">
        <v>156.8769231</v>
      </c>
      <c r="E295">
        <v>188.1</v>
      </c>
      <c r="F295">
        <v>154.03333330000001</v>
      </c>
      <c r="G295">
        <v>159.9</v>
      </c>
      <c r="H295">
        <v>155.5</v>
      </c>
      <c r="I295">
        <v>151.19999999999999</v>
      </c>
      <c r="J295">
        <v>154.71666669999999</v>
      </c>
      <c r="K295">
        <v>156.80000000000001</v>
      </c>
    </row>
    <row r="296" spans="1:11" x14ac:dyDescent="0.35">
      <c r="A296" t="s">
        <v>11</v>
      </c>
      <c r="B296">
        <v>2021</v>
      </c>
      <c r="C296" t="s">
        <v>18</v>
      </c>
      <c r="D296">
        <v>157.6538462</v>
      </c>
      <c r="E296">
        <v>186.8</v>
      </c>
      <c r="F296">
        <v>158.56666670000001</v>
      </c>
      <c r="G296" t="str">
        <f>""</f>
        <v/>
      </c>
      <c r="H296">
        <v>156</v>
      </c>
      <c r="I296">
        <v>155.5</v>
      </c>
      <c r="J296">
        <v>158.71666669999999</v>
      </c>
      <c r="K296">
        <v>157.6</v>
      </c>
    </row>
    <row r="297" spans="1:11" x14ac:dyDescent="0.35">
      <c r="A297" t="s">
        <v>14</v>
      </c>
      <c r="B297">
        <v>2021</v>
      </c>
      <c r="C297" t="s">
        <v>18</v>
      </c>
      <c r="D297">
        <v>160.7384615</v>
      </c>
      <c r="E297">
        <v>194.4</v>
      </c>
      <c r="F297">
        <v>149.53333330000001</v>
      </c>
      <c r="G297">
        <v>161.4</v>
      </c>
      <c r="H297">
        <v>154.9</v>
      </c>
      <c r="I297">
        <v>147.6</v>
      </c>
      <c r="J297">
        <v>152.2333333</v>
      </c>
      <c r="K297">
        <v>158</v>
      </c>
    </row>
    <row r="298" spans="1:11" x14ac:dyDescent="0.35">
      <c r="A298" t="s">
        <v>15</v>
      </c>
      <c r="B298">
        <v>2021</v>
      </c>
      <c r="C298" t="s">
        <v>18</v>
      </c>
      <c r="D298">
        <v>158.7769231</v>
      </c>
      <c r="E298">
        <v>188.8</v>
      </c>
      <c r="F298">
        <v>154.8666667</v>
      </c>
      <c r="G298">
        <v>161.4</v>
      </c>
      <c r="H298">
        <v>155.6</v>
      </c>
      <c r="I298">
        <v>151.80000000000001</v>
      </c>
      <c r="J298">
        <v>155.3666667</v>
      </c>
      <c r="K298">
        <v>157.80000000000001</v>
      </c>
    </row>
    <row r="299" spans="1:11" x14ac:dyDescent="0.35">
      <c r="A299" t="s">
        <v>11</v>
      </c>
      <c r="B299">
        <v>2021</v>
      </c>
      <c r="C299" t="s">
        <v>19</v>
      </c>
      <c r="D299">
        <v>161.17692310000001</v>
      </c>
      <c r="E299">
        <v>189.6</v>
      </c>
      <c r="F299">
        <v>163.46666669999999</v>
      </c>
      <c r="G299" t="str">
        <f>""</f>
        <v/>
      </c>
      <c r="H299">
        <v>161.69999999999999</v>
      </c>
      <c r="I299">
        <v>158.80000000000001</v>
      </c>
      <c r="J299">
        <v>161.71666669999999</v>
      </c>
      <c r="K299">
        <v>161.1</v>
      </c>
    </row>
    <row r="300" spans="1:11" x14ac:dyDescent="0.35">
      <c r="A300" t="s">
        <v>14</v>
      </c>
      <c r="B300">
        <v>2021</v>
      </c>
      <c r="C300" t="s">
        <v>19</v>
      </c>
      <c r="D300">
        <v>163.43846149999999</v>
      </c>
      <c r="E300">
        <v>198.2</v>
      </c>
      <c r="F300">
        <v>150.2666667</v>
      </c>
      <c r="G300">
        <v>161.6</v>
      </c>
      <c r="H300">
        <v>155.5</v>
      </c>
      <c r="I300">
        <v>150.1</v>
      </c>
      <c r="J300">
        <v>154.06666670000001</v>
      </c>
      <c r="K300">
        <v>159.5</v>
      </c>
    </row>
    <row r="301" spans="1:11" x14ac:dyDescent="0.35">
      <c r="A301" t="s">
        <v>15</v>
      </c>
      <c r="B301">
        <v>2021</v>
      </c>
      <c r="C301" t="s">
        <v>19</v>
      </c>
      <c r="D301">
        <v>161.97692309999999</v>
      </c>
      <c r="E301">
        <v>191.9</v>
      </c>
      <c r="F301">
        <v>158.1</v>
      </c>
      <c r="G301">
        <v>161.6</v>
      </c>
      <c r="H301">
        <v>159.4</v>
      </c>
      <c r="I301">
        <v>154.69999999999999</v>
      </c>
      <c r="J301">
        <v>157.85</v>
      </c>
      <c r="K301">
        <v>160.4</v>
      </c>
    </row>
    <row r="302" spans="1:11" x14ac:dyDescent="0.35">
      <c r="A302" t="s">
        <v>11</v>
      </c>
      <c r="B302">
        <v>2021</v>
      </c>
      <c r="C302" t="s">
        <v>20</v>
      </c>
      <c r="D302">
        <v>163.2769231</v>
      </c>
      <c r="E302">
        <v>189.1</v>
      </c>
      <c r="F302">
        <v>163.2666667</v>
      </c>
      <c r="G302" t="str">
        <f>""</f>
        <v/>
      </c>
      <c r="H302">
        <v>162.1</v>
      </c>
      <c r="I302">
        <v>159.19999999999999</v>
      </c>
      <c r="J302">
        <v>162</v>
      </c>
      <c r="K302">
        <v>162.1</v>
      </c>
    </row>
    <row r="303" spans="1:11" x14ac:dyDescent="0.35">
      <c r="A303" t="s">
        <v>14</v>
      </c>
      <c r="B303">
        <v>2021</v>
      </c>
      <c r="C303" t="s">
        <v>20</v>
      </c>
      <c r="D303">
        <v>165.70769229999999</v>
      </c>
      <c r="E303">
        <v>195.6</v>
      </c>
      <c r="F303">
        <v>150.8666667</v>
      </c>
      <c r="G303">
        <v>160.5</v>
      </c>
      <c r="H303">
        <v>156.1</v>
      </c>
      <c r="I303">
        <v>149.80000000000001</v>
      </c>
      <c r="J303">
        <v>154.75</v>
      </c>
      <c r="K303">
        <v>160.4</v>
      </c>
    </row>
    <row r="304" spans="1:11" x14ac:dyDescent="0.35">
      <c r="A304" t="s">
        <v>15</v>
      </c>
      <c r="B304">
        <v>2021</v>
      </c>
      <c r="C304" t="s">
        <v>20</v>
      </c>
      <c r="D304">
        <v>164.14615380000001</v>
      </c>
      <c r="E304">
        <v>190.8</v>
      </c>
      <c r="F304">
        <v>158.2333333</v>
      </c>
      <c r="G304">
        <v>160.5</v>
      </c>
      <c r="H304">
        <v>159.80000000000001</v>
      </c>
      <c r="I304">
        <v>154.80000000000001</v>
      </c>
      <c r="J304">
        <v>158.33333329999999</v>
      </c>
      <c r="K304">
        <v>161.30000000000001</v>
      </c>
    </row>
    <row r="305" spans="1:11" x14ac:dyDescent="0.35">
      <c r="A305" t="s">
        <v>11</v>
      </c>
      <c r="B305">
        <v>2021</v>
      </c>
      <c r="C305" t="s">
        <v>21</v>
      </c>
      <c r="D305">
        <v>164.03076920000001</v>
      </c>
      <c r="E305">
        <v>189.7</v>
      </c>
      <c r="F305">
        <v>164.1333333</v>
      </c>
      <c r="G305" t="str">
        <f>""</f>
        <v/>
      </c>
      <c r="H305">
        <v>162.5</v>
      </c>
      <c r="I305">
        <v>160.30000000000001</v>
      </c>
      <c r="J305">
        <v>163.1</v>
      </c>
      <c r="K305">
        <v>163.19999999999999</v>
      </c>
    </row>
    <row r="306" spans="1:11" x14ac:dyDescent="0.35">
      <c r="A306" t="s">
        <v>14</v>
      </c>
      <c r="B306">
        <v>2021</v>
      </c>
      <c r="C306" t="s">
        <v>21</v>
      </c>
      <c r="D306">
        <v>167.06153850000001</v>
      </c>
      <c r="E306">
        <v>195.5</v>
      </c>
      <c r="F306">
        <v>151.7666667</v>
      </c>
      <c r="G306">
        <v>161.5</v>
      </c>
      <c r="H306">
        <v>157.69999999999999</v>
      </c>
      <c r="I306">
        <v>150.69999999999999</v>
      </c>
      <c r="J306">
        <v>156.18333329999999</v>
      </c>
      <c r="K306">
        <v>161.80000000000001</v>
      </c>
    </row>
    <row r="307" spans="1:11" x14ac:dyDescent="0.35">
      <c r="A307" t="s">
        <v>15</v>
      </c>
      <c r="B307">
        <v>2021</v>
      </c>
      <c r="C307" t="s">
        <v>21</v>
      </c>
      <c r="D307">
        <v>165.1538462</v>
      </c>
      <c r="E307">
        <v>191.2</v>
      </c>
      <c r="F307">
        <v>159.1</v>
      </c>
      <c r="G307">
        <v>161.5</v>
      </c>
      <c r="H307">
        <v>160.69999999999999</v>
      </c>
      <c r="I307">
        <v>155.80000000000001</v>
      </c>
      <c r="J307">
        <v>159.6166667</v>
      </c>
      <c r="K307">
        <v>162.5</v>
      </c>
    </row>
    <row r="308" spans="1:11" x14ac:dyDescent="0.35">
      <c r="A308" t="s">
        <v>11</v>
      </c>
      <c r="B308">
        <v>2021</v>
      </c>
      <c r="C308" t="s">
        <v>22</v>
      </c>
      <c r="D308">
        <v>163.90769230000001</v>
      </c>
      <c r="E308">
        <v>190.2</v>
      </c>
      <c r="F308">
        <v>165.3</v>
      </c>
      <c r="G308" t="str">
        <f>""</f>
        <v/>
      </c>
      <c r="H308">
        <v>163.1</v>
      </c>
      <c r="I308">
        <v>160.9</v>
      </c>
      <c r="J308">
        <v>163.5</v>
      </c>
      <c r="K308">
        <v>163.6</v>
      </c>
    </row>
    <row r="309" spans="1:11" x14ac:dyDescent="0.35">
      <c r="A309" t="s">
        <v>14</v>
      </c>
      <c r="B309">
        <v>2021</v>
      </c>
      <c r="C309" t="s">
        <v>22</v>
      </c>
      <c r="D309">
        <v>165.9923077</v>
      </c>
      <c r="E309">
        <v>196.5</v>
      </c>
      <c r="F309">
        <v>153.56666670000001</v>
      </c>
      <c r="G309">
        <v>162.1</v>
      </c>
      <c r="H309">
        <v>160.69999999999999</v>
      </c>
      <c r="I309">
        <v>153.19999999999999</v>
      </c>
      <c r="J309">
        <v>157.15</v>
      </c>
      <c r="K309">
        <v>162.30000000000001</v>
      </c>
    </row>
    <row r="310" spans="1:11" x14ac:dyDescent="0.35">
      <c r="A310" t="s">
        <v>15</v>
      </c>
      <c r="B310">
        <v>2021</v>
      </c>
      <c r="C310" t="s">
        <v>22</v>
      </c>
      <c r="D310">
        <v>164.7692308</v>
      </c>
      <c r="E310">
        <v>192.1</v>
      </c>
      <c r="F310">
        <v>161</v>
      </c>
      <c r="G310">
        <v>162.1</v>
      </c>
      <c r="H310">
        <v>162.6</v>
      </c>
      <c r="I310">
        <v>157.5</v>
      </c>
      <c r="J310">
        <v>160.6333333</v>
      </c>
      <c r="K310">
        <v>163.19999999999999</v>
      </c>
    </row>
    <row r="311" spans="1:11" x14ac:dyDescent="0.35">
      <c r="A311" t="s">
        <v>11</v>
      </c>
      <c r="B311">
        <v>2021</v>
      </c>
      <c r="C311" t="s">
        <v>23</v>
      </c>
      <c r="D311">
        <v>164.1230769</v>
      </c>
      <c r="E311">
        <v>190.5</v>
      </c>
      <c r="F311">
        <v>166.1333333</v>
      </c>
      <c r="G311" t="str">
        <f>""</f>
        <v/>
      </c>
      <c r="H311">
        <v>163.69999999999999</v>
      </c>
      <c r="I311">
        <v>161.30000000000001</v>
      </c>
      <c r="J311">
        <v>164.15</v>
      </c>
      <c r="K311">
        <v>164</v>
      </c>
    </row>
    <row r="312" spans="1:11" x14ac:dyDescent="0.35">
      <c r="A312" t="s">
        <v>14</v>
      </c>
      <c r="B312">
        <v>2021</v>
      </c>
      <c r="C312" t="s">
        <v>23</v>
      </c>
      <c r="D312">
        <v>165.9923077</v>
      </c>
      <c r="E312">
        <v>196.5</v>
      </c>
      <c r="F312">
        <v>153.6</v>
      </c>
      <c r="G312">
        <v>162.1</v>
      </c>
      <c r="H312">
        <v>160.80000000000001</v>
      </c>
      <c r="I312">
        <v>153.30000000000001</v>
      </c>
      <c r="J312">
        <v>157.18333329999999</v>
      </c>
      <c r="K312">
        <v>162.30000000000001</v>
      </c>
    </row>
    <row r="313" spans="1:11" x14ac:dyDescent="0.35">
      <c r="A313" t="s">
        <v>15</v>
      </c>
      <c r="B313">
        <v>2021</v>
      </c>
      <c r="C313" t="s">
        <v>23</v>
      </c>
      <c r="D313">
        <v>164.7692308</v>
      </c>
      <c r="E313">
        <v>192.1</v>
      </c>
      <c r="F313">
        <v>161.06666670000001</v>
      </c>
      <c r="G313">
        <v>162.1</v>
      </c>
      <c r="H313">
        <v>162.6</v>
      </c>
      <c r="I313">
        <v>157.5</v>
      </c>
      <c r="J313">
        <v>160.6333333</v>
      </c>
      <c r="K313">
        <v>163.19999999999999</v>
      </c>
    </row>
    <row r="314" spans="1:11" x14ac:dyDescent="0.35">
      <c r="A314" t="s">
        <v>11</v>
      </c>
      <c r="B314">
        <v>2021</v>
      </c>
      <c r="C314" t="s">
        <v>24</v>
      </c>
      <c r="D314">
        <v>166.47692309999999</v>
      </c>
      <c r="E314">
        <v>191.2</v>
      </c>
      <c r="F314">
        <v>167.33333329999999</v>
      </c>
      <c r="G314" t="str">
        <f>""</f>
        <v/>
      </c>
      <c r="H314">
        <v>165.5</v>
      </c>
      <c r="I314">
        <v>162</v>
      </c>
      <c r="J314">
        <v>165</v>
      </c>
      <c r="K314">
        <v>166.3</v>
      </c>
    </row>
    <row r="315" spans="1:11" x14ac:dyDescent="0.35">
      <c r="A315" t="s">
        <v>14</v>
      </c>
      <c r="B315">
        <v>2021</v>
      </c>
      <c r="C315" t="s">
        <v>24</v>
      </c>
      <c r="D315">
        <v>169.1076923</v>
      </c>
      <c r="E315">
        <v>197</v>
      </c>
      <c r="F315">
        <v>154.5</v>
      </c>
      <c r="G315">
        <v>163.6</v>
      </c>
      <c r="H315">
        <v>162.19999999999999</v>
      </c>
      <c r="I315">
        <v>154.30000000000001</v>
      </c>
      <c r="J315">
        <v>158.06666670000001</v>
      </c>
      <c r="K315">
        <v>164.6</v>
      </c>
    </row>
    <row r="316" spans="1:11" x14ac:dyDescent="0.35">
      <c r="A316" t="s">
        <v>15</v>
      </c>
      <c r="B316">
        <v>2021</v>
      </c>
      <c r="C316" t="s">
        <v>24</v>
      </c>
      <c r="D316">
        <v>167.3461538</v>
      </c>
      <c r="E316">
        <v>192.7</v>
      </c>
      <c r="F316">
        <v>162.1</v>
      </c>
      <c r="G316">
        <v>163.6</v>
      </c>
      <c r="H316">
        <v>164.2</v>
      </c>
      <c r="I316">
        <v>158.4</v>
      </c>
      <c r="J316">
        <v>161.5166667</v>
      </c>
      <c r="K316">
        <v>165.5</v>
      </c>
    </row>
    <row r="317" spans="1:11" x14ac:dyDescent="0.35">
      <c r="A317" t="s">
        <v>11</v>
      </c>
      <c r="B317">
        <v>2021</v>
      </c>
      <c r="C317" t="s">
        <v>26</v>
      </c>
      <c r="D317">
        <v>167.8461538</v>
      </c>
      <c r="E317">
        <v>191.4</v>
      </c>
      <c r="F317">
        <v>168.7333333</v>
      </c>
      <c r="G317" t="str">
        <f>""</f>
        <v/>
      </c>
      <c r="H317">
        <v>165.3</v>
      </c>
      <c r="I317">
        <v>162.9</v>
      </c>
      <c r="J317">
        <v>165.5</v>
      </c>
      <c r="K317">
        <v>167.6</v>
      </c>
    </row>
    <row r="318" spans="1:11" x14ac:dyDescent="0.35">
      <c r="A318" t="s">
        <v>14</v>
      </c>
      <c r="B318">
        <v>2021</v>
      </c>
      <c r="C318" t="s">
        <v>26</v>
      </c>
      <c r="D318">
        <v>170.6076923</v>
      </c>
      <c r="E318">
        <v>197</v>
      </c>
      <c r="F318">
        <v>155.7666667</v>
      </c>
      <c r="G318">
        <v>164.2</v>
      </c>
      <c r="H318">
        <v>161.6</v>
      </c>
      <c r="I318">
        <v>155.19999999999999</v>
      </c>
      <c r="J318">
        <v>158.66666670000001</v>
      </c>
      <c r="K318">
        <v>165.6</v>
      </c>
    </row>
    <row r="319" spans="1:11" x14ac:dyDescent="0.35">
      <c r="A319" t="s">
        <v>15</v>
      </c>
      <c r="B319">
        <v>2021</v>
      </c>
      <c r="C319" t="s">
        <v>26</v>
      </c>
      <c r="D319">
        <v>168.7769231</v>
      </c>
      <c r="E319">
        <v>192.9</v>
      </c>
      <c r="F319">
        <v>163.46666669999999</v>
      </c>
      <c r="G319">
        <v>164.2</v>
      </c>
      <c r="H319">
        <v>163.9</v>
      </c>
      <c r="I319">
        <v>159.30000000000001</v>
      </c>
      <c r="J319">
        <v>162.06666670000001</v>
      </c>
      <c r="K319">
        <v>166.7</v>
      </c>
    </row>
    <row r="320" spans="1:11" x14ac:dyDescent="0.35">
      <c r="A320" t="s">
        <v>11</v>
      </c>
      <c r="B320">
        <v>2021</v>
      </c>
      <c r="C320" t="s">
        <v>27</v>
      </c>
      <c r="D320">
        <v>166.78461540000001</v>
      </c>
      <c r="E320">
        <v>190.8</v>
      </c>
      <c r="F320">
        <v>170.1</v>
      </c>
      <c r="G320" t="str">
        <f>""</f>
        <v/>
      </c>
      <c r="H320">
        <v>165.6</v>
      </c>
      <c r="I320">
        <v>163.9</v>
      </c>
      <c r="J320">
        <v>166.18333329999999</v>
      </c>
      <c r="K320">
        <v>167</v>
      </c>
    </row>
    <row r="321" spans="1:11" x14ac:dyDescent="0.35">
      <c r="A321" t="s">
        <v>14</v>
      </c>
      <c r="B321">
        <v>2021</v>
      </c>
      <c r="C321" t="s">
        <v>27</v>
      </c>
      <c r="D321">
        <v>169.71538459999999</v>
      </c>
      <c r="E321">
        <v>196.8</v>
      </c>
      <c r="F321">
        <v>156.9</v>
      </c>
      <c r="G321">
        <v>163.4</v>
      </c>
      <c r="H321">
        <v>161.69999999999999</v>
      </c>
      <c r="I321">
        <v>156</v>
      </c>
      <c r="J321">
        <v>159.21666669999999</v>
      </c>
      <c r="K321">
        <v>165.2</v>
      </c>
    </row>
    <row r="322" spans="1:11" x14ac:dyDescent="0.35">
      <c r="A322" t="s">
        <v>15</v>
      </c>
      <c r="B322">
        <v>2021</v>
      </c>
      <c r="C322" t="s">
        <v>27</v>
      </c>
      <c r="D322">
        <v>167.7615385</v>
      </c>
      <c r="E322">
        <v>192.4</v>
      </c>
      <c r="F322">
        <v>164.7333333</v>
      </c>
      <c r="G322">
        <v>163.4</v>
      </c>
      <c r="H322">
        <v>164.1</v>
      </c>
      <c r="I322">
        <v>160.19999999999999</v>
      </c>
      <c r="J322">
        <v>162.65</v>
      </c>
      <c r="K322">
        <v>166.2</v>
      </c>
    </row>
    <row r="323" spans="1:11" x14ac:dyDescent="0.35">
      <c r="A323" t="s">
        <v>11</v>
      </c>
      <c r="B323">
        <v>2022</v>
      </c>
      <c r="C323" t="s">
        <v>12</v>
      </c>
      <c r="D323">
        <v>165.6153846</v>
      </c>
      <c r="E323">
        <v>190.7</v>
      </c>
      <c r="F323">
        <v>171.7333333</v>
      </c>
      <c r="G323" t="str">
        <f>""</f>
        <v/>
      </c>
      <c r="H323">
        <v>165.8</v>
      </c>
      <c r="I323">
        <v>164.9</v>
      </c>
      <c r="J323">
        <v>166.68333329999999</v>
      </c>
      <c r="K323">
        <v>166.4</v>
      </c>
    </row>
    <row r="324" spans="1:11" x14ac:dyDescent="0.35">
      <c r="A324" t="s">
        <v>14</v>
      </c>
      <c r="B324">
        <v>2022</v>
      </c>
      <c r="C324" t="s">
        <v>12</v>
      </c>
      <c r="D324">
        <v>168.20769229999999</v>
      </c>
      <c r="E324">
        <v>196.4</v>
      </c>
      <c r="F324">
        <v>158.46666669999999</v>
      </c>
      <c r="G324">
        <v>164.5</v>
      </c>
      <c r="H324">
        <v>161.6</v>
      </c>
      <c r="I324">
        <v>156.80000000000001</v>
      </c>
      <c r="J324">
        <v>159.93333329999999</v>
      </c>
      <c r="K324">
        <v>165</v>
      </c>
    </row>
    <row r="325" spans="1:11" x14ac:dyDescent="0.35">
      <c r="A325" t="s">
        <v>15</v>
      </c>
      <c r="B325">
        <v>2022</v>
      </c>
      <c r="C325" t="s">
        <v>12</v>
      </c>
      <c r="D325">
        <v>166.47692309999999</v>
      </c>
      <c r="E325">
        <v>192.2</v>
      </c>
      <c r="F325">
        <v>166.3666667</v>
      </c>
      <c r="G325">
        <v>164.5</v>
      </c>
      <c r="H325">
        <v>164.2</v>
      </c>
      <c r="I325">
        <v>161.1</v>
      </c>
      <c r="J325">
        <v>163.25</v>
      </c>
      <c r="K325">
        <v>165.7</v>
      </c>
    </row>
    <row r="326" spans="1:11" x14ac:dyDescent="0.35">
      <c r="A326" t="s">
        <v>11</v>
      </c>
      <c r="B326">
        <v>2022</v>
      </c>
      <c r="C326" t="s">
        <v>16</v>
      </c>
      <c r="D326">
        <v>165.41538460000001</v>
      </c>
      <c r="E326">
        <v>191.5</v>
      </c>
      <c r="F326">
        <v>172.93333329999999</v>
      </c>
      <c r="G326" t="str">
        <f>""</f>
        <v/>
      </c>
      <c r="H326">
        <v>167.4</v>
      </c>
      <c r="I326">
        <v>165.7</v>
      </c>
      <c r="J326">
        <v>167.35</v>
      </c>
      <c r="K326">
        <v>166.7</v>
      </c>
    </row>
    <row r="327" spans="1:11" x14ac:dyDescent="0.35">
      <c r="A327" t="s">
        <v>14</v>
      </c>
      <c r="B327">
        <v>2022</v>
      </c>
      <c r="C327" t="s">
        <v>16</v>
      </c>
      <c r="D327">
        <v>167.96153849999999</v>
      </c>
      <c r="E327">
        <v>196.5</v>
      </c>
      <c r="F327">
        <v>159.83333329999999</v>
      </c>
      <c r="G327">
        <v>165.5</v>
      </c>
      <c r="H327">
        <v>163</v>
      </c>
      <c r="I327">
        <v>157.4</v>
      </c>
      <c r="J327">
        <v>160.9</v>
      </c>
      <c r="K327">
        <v>165.5</v>
      </c>
    </row>
    <row r="328" spans="1:11" x14ac:dyDescent="0.35">
      <c r="A328" t="s">
        <v>15</v>
      </c>
      <c r="B328">
        <v>2022</v>
      </c>
      <c r="C328" t="s">
        <v>16</v>
      </c>
      <c r="D328">
        <v>166.2461538</v>
      </c>
      <c r="E328">
        <v>192.8</v>
      </c>
      <c r="F328">
        <v>167.6</v>
      </c>
      <c r="G328">
        <v>165.5</v>
      </c>
      <c r="H328">
        <v>165.7</v>
      </c>
      <c r="I328">
        <v>161.80000000000001</v>
      </c>
      <c r="J328">
        <v>164.08333329999999</v>
      </c>
      <c r="K328">
        <v>166.1</v>
      </c>
    </row>
    <row r="329" spans="1:11" x14ac:dyDescent="0.35">
      <c r="A329" t="s">
        <v>11</v>
      </c>
      <c r="B329">
        <v>2022</v>
      </c>
      <c r="C329" t="s">
        <v>17</v>
      </c>
      <c r="D329">
        <v>167.6230769</v>
      </c>
      <c r="E329">
        <v>192.3</v>
      </c>
      <c r="F329">
        <v>174.56666670000001</v>
      </c>
      <c r="G329" t="str">
        <f>""</f>
        <v/>
      </c>
      <c r="H329">
        <v>168.9</v>
      </c>
      <c r="I329">
        <v>166.5</v>
      </c>
      <c r="J329">
        <v>168.4833333</v>
      </c>
      <c r="K329">
        <v>168.7</v>
      </c>
    </row>
    <row r="330" spans="1:11" x14ac:dyDescent="0.35">
      <c r="A330" t="s">
        <v>14</v>
      </c>
      <c r="B330">
        <v>2022</v>
      </c>
      <c r="C330" t="s">
        <v>17</v>
      </c>
      <c r="D330">
        <v>168.94615379999999</v>
      </c>
      <c r="E330">
        <v>197.5</v>
      </c>
      <c r="F330">
        <v>161.53333330000001</v>
      </c>
      <c r="G330">
        <v>165.3</v>
      </c>
      <c r="H330">
        <v>164.5</v>
      </c>
      <c r="I330">
        <v>158.6</v>
      </c>
      <c r="J330">
        <v>162.21666669999999</v>
      </c>
      <c r="K330">
        <v>166.5</v>
      </c>
    </row>
    <row r="331" spans="1:11" x14ac:dyDescent="0.35">
      <c r="A331" t="s">
        <v>15</v>
      </c>
      <c r="B331">
        <v>2022</v>
      </c>
      <c r="C331" t="s">
        <v>17</v>
      </c>
      <c r="D331">
        <v>168.0153846</v>
      </c>
      <c r="E331">
        <v>193.7</v>
      </c>
      <c r="F331">
        <v>169.2666667</v>
      </c>
      <c r="G331">
        <v>165.3</v>
      </c>
      <c r="H331">
        <v>167.2</v>
      </c>
      <c r="I331">
        <v>162.80000000000001</v>
      </c>
      <c r="J331">
        <v>165.33333329999999</v>
      </c>
      <c r="K331">
        <v>167.7</v>
      </c>
    </row>
    <row r="332" spans="1:11" x14ac:dyDescent="0.35">
      <c r="A332" t="s">
        <v>11</v>
      </c>
      <c r="B332">
        <v>2022</v>
      </c>
      <c r="C332" t="s">
        <v>18</v>
      </c>
      <c r="D332">
        <v>169.7384615</v>
      </c>
      <c r="E332">
        <v>192.8</v>
      </c>
      <c r="F332">
        <v>176.56666670000001</v>
      </c>
      <c r="G332" t="str">
        <f>""</f>
        <v/>
      </c>
      <c r="H332">
        <v>173.3</v>
      </c>
      <c r="I332">
        <v>167.7</v>
      </c>
      <c r="J332">
        <v>170.08333329999999</v>
      </c>
      <c r="K332">
        <v>170.8</v>
      </c>
    </row>
    <row r="333" spans="1:11" x14ac:dyDescent="0.35">
      <c r="A333" t="s">
        <v>14</v>
      </c>
      <c r="B333">
        <v>2022</v>
      </c>
      <c r="C333" t="s">
        <v>18</v>
      </c>
      <c r="D333">
        <v>171.56923080000001</v>
      </c>
      <c r="E333">
        <v>197.1</v>
      </c>
      <c r="F333">
        <v>163.06666670000001</v>
      </c>
      <c r="G333">
        <v>167</v>
      </c>
      <c r="H333">
        <v>170.5</v>
      </c>
      <c r="I333">
        <v>159.80000000000001</v>
      </c>
      <c r="J333">
        <v>164.33333329999999</v>
      </c>
      <c r="K333">
        <v>169.2</v>
      </c>
    </row>
    <row r="334" spans="1:11" x14ac:dyDescent="0.35">
      <c r="A334" t="s">
        <v>15</v>
      </c>
      <c r="B334">
        <v>2022</v>
      </c>
      <c r="C334" t="s">
        <v>18</v>
      </c>
      <c r="D334">
        <v>170.33076919999999</v>
      </c>
      <c r="E334">
        <v>193.9</v>
      </c>
      <c r="F334">
        <v>171.06666670000001</v>
      </c>
      <c r="G334">
        <v>167</v>
      </c>
      <c r="H334">
        <v>172.2</v>
      </c>
      <c r="I334">
        <v>164</v>
      </c>
      <c r="J334">
        <v>167.25</v>
      </c>
      <c r="K334">
        <v>170.1</v>
      </c>
    </row>
    <row r="335" spans="1:11" x14ac:dyDescent="0.35">
      <c r="A335" t="s">
        <v>11</v>
      </c>
      <c r="B335">
        <v>2022</v>
      </c>
      <c r="C335" t="s">
        <v>19</v>
      </c>
      <c r="D335">
        <v>171.29230770000001</v>
      </c>
      <c r="E335">
        <v>192.9</v>
      </c>
      <c r="F335">
        <v>178.5</v>
      </c>
      <c r="G335" t="str">
        <f>""</f>
        <v/>
      </c>
      <c r="H335">
        <v>175.3</v>
      </c>
      <c r="I335">
        <v>168.9</v>
      </c>
      <c r="J335">
        <v>170.6</v>
      </c>
      <c r="K335">
        <v>172.5</v>
      </c>
    </row>
    <row r="336" spans="1:11" x14ac:dyDescent="0.35">
      <c r="A336" t="s">
        <v>14</v>
      </c>
      <c r="B336">
        <v>2022</v>
      </c>
      <c r="C336" t="s">
        <v>19</v>
      </c>
      <c r="D336">
        <v>174.0153846</v>
      </c>
      <c r="E336">
        <v>197.5</v>
      </c>
      <c r="F336">
        <v>164.56666670000001</v>
      </c>
      <c r="G336">
        <v>167.5</v>
      </c>
      <c r="H336">
        <v>173.5</v>
      </c>
      <c r="I336">
        <v>161.1</v>
      </c>
      <c r="J336">
        <v>164.9833333</v>
      </c>
      <c r="K336">
        <v>170.8</v>
      </c>
    </row>
    <row r="337" spans="1:11" x14ac:dyDescent="0.35">
      <c r="A337" t="s">
        <v>15</v>
      </c>
      <c r="B337">
        <v>2022</v>
      </c>
      <c r="C337" t="s">
        <v>19</v>
      </c>
      <c r="D337">
        <v>172.2230769</v>
      </c>
      <c r="E337">
        <v>194.1</v>
      </c>
      <c r="F337">
        <v>172.8666667</v>
      </c>
      <c r="G337">
        <v>167.5</v>
      </c>
      <c r="H337">
        <v>174.6</v>
      </c>
      <c r="I337">
        <v>165.2</v>
      </c>
      <c r="J337">
        <v>167.78333330000001</v>
      </c>
      <c r="K337">
        <v>171.7</v>
      </c>
    </row>
    <row r="338" spans="1:11" x14ac:dyDescent="0.35">
      <c r="A338" t="s">
        <v>11</v>
      </c>
      <c r="B338">
        <v>2022</v>
      </c>
      <c r="C338" t="s">
        <v>20</v>
      </c>
      <c r="D338">
        <v>172.94615379999999</v>
      </c>
      <c r="E338">
        <v>192.9</v>
      </c>
      <c r="F338">
        <v>179.93333329999999</v>
      </c>
      <c r="G338" t="str">
        <f>""</f>
        <v/>
      </c>
      <c r="H338">
        <v>176.7</v>
      </c>
      <c r="I338">
        <v>170.3</v>
      </c>
      <c r="J338">
        <v>170.8</v>
      </c>
      <c r="K338">
        <v>173.6</v>
      </c>
    </row>
    <row r="339" spans="1:11" x14ac:dyDescent="0.35">
      <c r="A339" t="s">
        <v>14</v>
      </c>
      <c r="B339">
        <v>2022</v>
      </c>
      <c r="C339" t="s">
        <v>20</v>
      </c>
      <c r="D339">
        <v>175.96153849999999</v>
      </c>
      <c r="E339">
        <v>198.3</v>
      </c>
      <c r="F339">
        <v>166.1333333</v>
      </c>
      <c r="G339">
        <v>166.8</v>
      </c>
      <c r="H339">
        <v>174.9</v>
      </c>
      <c r="I339">
        <v>162.1</v>
      </c>
      <c r="J339">
        <v>165.28333330000001</v>
      </c>
      <c r="K339">
        <v>171.4</v>
      </c>
    </row>
    <row r="340" spans="1:11" x14ac:dyDescent="0.35">
      <c r="A340" t="s">
        <v>15</v>
      </c>
      <c r="B340">
        <v>2022</v>
      </c>
      <c r="C340" t="s">
        <v>20</v>
      </c>
      <c r="D340">
        <v>173.9923077</v>
      </c>
      <c r="E340">
        <v>194.3</v>
      </c>
      <c r="F340">
        <v>174.33333329999999</v>
      </c>
      <c r="G340">
        <v>166.8</v>
      </c>
      <c r="H340">
        <v>176</v>
      </c>
      <c r="I340">
        <v>166.4</v>
      </c>
      <c r="J340">
        <v>168.03333330000001</v>
      </c>
      <c r="K340">
        <v>172.6</v>
      </c>
    </row>
    <row r="341" spans="1:11" x14ac:dyDescent="0.35">
      <c r="A341" t="s">
        <v>11</v>
      </c>
      <c r="B341">
        <v>2022</v>
      </c>
      <c r="C341" t="s">
        <v>21</v>
      </c>
      <c r="D341">
        <v>173.2692308</v>
      </c>
      <c r="E341">
        <v>193.2</v>
      </c>
      <c r="F341">
        <v>181.33333329999999</v>
      </c>
      <c r="G341" t="str">
        <f>""</f>
        <v/>
      </c>
      <c r="H341">
        <v>179.6</v>
      </c>
      <c r="I341">
        <v>171.3</v>
      </c>
      <c r="J341">
        <v>171.65</v>
      </c>
      <c r="K341">
        <v>174.3</v>
      </c>
    </row>
    <row r="342" spans="1:11" x14ac:dyDescent="0.35">
      <c r="A342" t="s">
        <v>14</v>
      </c>
      <c r="B342">
        <v>2022</v>
      </c>
      <c r="C342" t="s">
        <v>21</v>
      </c>
      <c r="D342">
        <v>176.2769231</v>
      </c>
      <c r="E342">
        <v>198.6</v>
      </c>
      <c r="F342">
        <v>167.33333329999999</v>
      </c>
      <c r="G342">
        <v>167.8</v>
      </c>
      <c r="H342">
        <v>179.5</v>
      </c>
      <c r="I342">
        <v>163.1</v>
      </c>
      <c r="J342">
        <v>166.21666669999999</v>
      </c>
      <c r="K342">
        <v>172.3</v>
      </c>
    </row>
    <row r="343" spans="1:11" x14ac:dyDescent="0.35">
      <c r="A343" t="s">
        <v>15</v>
      </c>
      <c r="B343">
        <v>2022</v>
      </c>
      <c r="C343" t="s">
        <v>21</v>
      </c>
      <c r="D343">
        <v>174.33076919999999</v>
      </c>
      <c r="E343">
        <v>194.6</v>
      </c>
      <c r="F343">
        <v>175.6333333</v>
      </c>
      <c r="G343">
        <v>167.8</v>
      </c>
      <c r="H343">
        <v>179.6</v>
      </c>
      <c r="I343">
        <v>167.4</v>
      </c>
      <c r="J343">
        <v>168.91666670000001</v>
      </c>
      <c r="K343">
        <v>173.4</v>
      </c>
    </row>
    <row r="344" spans="1:11" x14ac:dyDescent="0.35">
      <c r="A344" t="s">
        <v>11</v>
      </c>
      <c r="B344">
        <v>2022</v>
      </c>
      <c r="C344" t="s">
        <v>22</v>
      </c>
      <c r="D344">
        <v>173.52307690000001</v>
      </c>
      <c r="E344">
        <v>193.7</v>
      </c>
      <c r="F344">
        <v>182.6333333</v>
      </c>
      <c r="G344" t="str">
        <f>""</f>
        <v/>
      </c>
      <c r="H344">
        <v>179.1</v>
      </c>
      <c r="I344">
        <v>172.3</v>
      </c>
      <c r="J344">
        <v>172.45</v>
      </c>
      <c r="K344">
        <v>175.3</v>
      </c>
    </row>
    <row r="345" spans="1:11" x14ac:dyDescent="0.35">
      <c r="A345" t="s">
        <v>14</v>
      </c>
      <c r="B345">
        <v>2022</v>
      </c>
      <c r="C345" t="s">
        <v>22</v>
      </c>
      <c r="D345">
        <v>176.43846149999999</v>
      </c>
      <c r="E345">
        <v>198.7</v>
      </c>
      <c r="F345">
        <v>168.43333329999999</v>
      </c>
      <c r="G345">
        <v>169</v>
      </c>
      <c r="H345">
        <v>178.4</v>
      </c>
      <c r="I345">
        <v>164.2</v>
      </c>
      <c r="J345">
        <v>167.0166667</v>
      </c>
      <c r="K345">
        <v>173.1</v>
      </c>
    </row>
    <row r="346" spans="1:11" x14ac:dyDescent="0.35">
      <c r="A346" t="s">
        <v>15</v>
      </c>
      <c r="B346">
        <v>2022</v>
      </c>
      <c r="C346" t="s">
        <v>22</v>
      </c>
      <c r="D346">
        <v>174.55384620000001</v>
      </c>
      <c r="E346">
        <v>195</v>
      </c>
      <c r="F346">
        <v>176.9</v>
      </c>
      <c r="G346">
        <v>169</v>
      </c>
      <c r="H346">
        <v>178.8</v>
      </c>
      <c r="I346">
        <v>168.5</v>
      </c>
      <c r="J346">
        <v>169.7</v>
      </c>
      <c r="K346">
        <v>174.3</v>
      </c>
    </row>
    <row r="347" spans="1:11" x14ac:dyDescent="0.35">
      <c r="A347" t="s">
        <v>11</v>
      </c>
      <c r="B347">
        <v>2022</v>
      </c>
      <c r="C347" t="s">
        <v>23</v>
      </c>
      <c r="D347">
        <v>174.44615379999999</v>
      </c>
      <c r="E347">
        <v>194.5</v>
      </c>
      <c r="F347">
        <v>184.16666670000001</v>
      </c>
      <c r="G347" t="str">
        <f>""</f>
        <v/>
      </c>
      <c r="H347">
        <v>179.7</v>
      </c>
      <c r="I347">
        <v>173.6</v>
      </c>
      <c r="J347">
        <v>172.8666667</v>
      </c>
      <c r="K347">
        <v>176.4</v>
      </c>
    </row>
    <row r="348" spans="1:11" x14ac:dyDescent="0.35">
      <c r="A348" t="s">
        <v>14</v>
      </c>
      <c r="B348">
        <v>2022</v>
      </c>
      <c r="C348" t="s">
        <v>23</v>
      </c>
      <c r="D348">
        <v>177.41538460000001</v>
      </c>
      <c r="E348">
        <v>199.7</v>
      </c>
      <c r="F348">
        <v>169.9</v>
      </c>
      <c r="G348">
        <v>169.5</v>
      </c>
      <c r="H348">
        <v>179.2</v>
      </c>
      <c r="I348">
        <v>165</v>
      </c>
      <c r="J348">
        <v>167.65</v>
      </c>
      <c r="K348">
        <v>174.1</v>
      </c>
    </row>
    <row r="349" spans="1:11" x14ac:dyDescent="0.35">
      <c r="A349" t="s">
        <v>15</v>
      </c>
      <c r="B349">
        <v>2022</v>
      </c>
      <c r="C349" t="s">
        <v>23</v>
      </c>
      <c r="D349">
        <v>175.45384619999999</v>
      </c>
      <c r="E349">
        <v>195.9</v>
      </c>
      <c r="F349">
        <v>178.3666667</v>
      </c>
      <c r="G349">
        <v>169.5</v>
      </c>
      <c r="H349">
        <v>179.5</v>
      </c>
      <c r="I349">
        <v>169.5</v>
      </c>
      <c r="J349">
        <v>170.2333333</v>
      </c>
      <c r="K349">
        <v>175.3</v>
      </c>
    </row>
    <row r="350" spans="1:11" x14ac:dyDescent="0.35">
      <c r="A350" t="s">
        <v>11</v>
      </c>
      <c r="B350">
        <v>2022</v>
      </c>
      <c r="C350" t="s">
        <v>24</v>
      </c>
      <c r="D350">
        <v>175.7307692</v>
      </c>
      <c r="E350">
        <v>194.9</v>
      </c>
      <c r="F350">
        <v>185.46666669999999</v>
      </c>
      <c r="G350" t="str">
        <f>""</f>
        <v/>
      </c>
      <c r="H350">
        <v>180.8</v>
      </c>
      <c r="I350">
        <v>174.4</v>
      </c>
      <c r="J350">
        <v>173.6</v>
      </c>
      <c r="K350">
        <v>177.9</v>
      </c>
    </row>
    <row r="351" spans="1:11" x14ac:dyDescent="0.35">
      <c r="A351" t="s">
        <v>14</v>
      </c>
      <c r="B351">
        <v>2022</v>
      </c>
      <c r="C351" t="s">
        <v>24</v>
      </c>
      <c r="D351">
        <v>178.63846150000001</v>
      </c>
      <c r="E351">
        <v>200.1</v>
      </c>
      <c r="F351">
        <v>170.56666670000001</v>
      </c>
      <c r="G351">
        <v>171.2</v>
      </c>
      <c r="H351">
        <v>180</v>
      </c>
      <c r="I351">
        <v>166</v>
      </c>
      <c r="J351">
        <v>168.35</v>
      </c>
      <c r="K351">
        <v>175.3</v>
      </c>
    </row>
    <row r="352" spans="1:11" x14ac:dyDescent="0.35">
      <c r="A352" t="s">
        <v>15</v>
      </c>
      <c r="B352">
        <v>2022</v>
      </c>
      <c r="C352" t="s">
        <v>24</v>
      </c>
      <c r="D352">
        <v>176.71538459999999</v>
      </c>
      <c r="E352">
        <v>196.3</v>
      </c>
      <c r="F352">
        <v>179.4</v>
      </c>
      <c r="G352">
        <v>171.2</v>
      </c>
      <c r="H352">
        <v>180.5</v>
      </c>
      <c r="I352">
        <v>170.4</v>
      </c>
      <c r="J352">
        <v>170.96666669999999</v>
      </c>
      <c r="K352">
        <v>176.7</v>
      </c>
    </row>
    <row r="353" spans="1:11" x14ac:dyDescent="0.35">
      <c r="A353" t="s">
        <v>11</v>
      </c>
      <c r="B353">
        <v>2022</v>
      </c>
      <c r="C353" t="s">
        <v>26</v>
      </c>
      <c r="D353">
        <v>175.97692309999999</v>
      </c>
      <c r="E353">
        <v>195.5</v>
      </c>
      <c r="F353">
        <v>186.43333329999999</v>
      </c>
      <c r="G353" t="str">
        <f>""</f>
        <v/>
      </c>
      <c r="H353">
        <v>181.9</v>
      </c>
      <c r="I353">
        <v>175.5</v>
      </c>
      <c r="J353">
        <v>174.25</v>
      </c>
      <c r="K353">
        <v>177.8</v>
      </c>
    </row>
    <row r="354" spans="1:11" x14ac:dyDescent="0.35">
      <c r="A354" t="s">
        <v>14</v>
      </c>
      <c r="B354">
        <v>2022</v>
      </c>
      <c r="C354" t="s">
        <v>26</v>
      </c>
      <c r="D354">
        <v>178.03076920000001</v>
      </c>
      <c r="E354">
        <v>200.6</v>
      </c>
      <c r="F354">
        <v>171.6333333</v>
      </c>
      <c r="G354">
        <v>171.8</v>
      </c>
      <c r="H354">
        <v>180.3</v>
      </c>
      <c r="I354">
        <v>166.9</v>
      </c>
      <c r="J354">
        <v>169.0166667</v>
      </c>
      <c r="K354">
        <v>174.1</v>
      </c>
    </row>
    <row r="355" spans="1:11" x14ac:dyDescent="0.35">
      <c r="A355" t="s">
        <v>15</v>
      </c>
      <c r="B355">
        <v>2022</v>
      </c>
      <c r="C355" t="s">
        <v>26</v>
      </c>
      <c r="D355">
        <v>176.67692310000001</v>
      </c>
      <c r="E355">
        <v>196.9</v>
      </c>
      <c r="F355">
        <v>180.46666669999999</v>
      </c>
      <c r="G355">
        <v>171.8</v>
      </c>
      <c r="H355">
        <v>181.3</v>
      </c>
      <c r="I355">
        <v>171.4</v>
      </c>
      <c r="J355">
        <v>171.6166667</v>
      </c>
      <c r="K355">
        <v>176.5</v>
      </c>
    </row>
    <row r="356" spans="1:11" x14ac:dyDescent="0.35">
      <c r="A356" t="s">
        <v>11</v>
      </c>
      <c r="B356">
        <v>2022</v>
      </c>
      <c r="C356" t="s">
        <v>27</v>
      </c>
      <c r="D356">
        <v>175.16153850000001</v>
      </c>
      <c r="E356">
        <v>195.9</v>
      </c>
      <c r="F356">
        <v>187.2666667</v>
      </c>
      <c r="G356" t="str">
        <f>""</f>
        <v/>
      </c>
      <c r="H356">
        <v>182.8</v>
      </c>
      <c r="I356">
        <v>176.4</v>
      </c>
      <c r="J356">
        <v>175.16666670000001</v>
      </c>
      <c r="K356">
        <v>177.1</v>
      </c>
    </row>
    <row r="357" spans="1:11" x14ac:dyDescent="0.35">
      <c r="A357" t="s">
        <v>14</v>
      </c>
      <c r="B357">
        <v>2022</v>
      </c>
      <c r="C357" t="s">
        <v>27</v>
      </c>
      <c r="D357">
        <v>176.6</v>
      </c>
      <c r="E357">
        <v>201.1</v>
      </c>
      <c r="F357">
        <v>172.6333333</v>
      </c>
      <c r="G357">
        <v>170.7</v>
      </c>
      <c r="H357">
        <v>180.6</v>
      </c>
      <c r="I357">
        <v>167.3</v>
      </c>
      <c r="J357">
        <v>169.95</v>
      </c>
      <c r="K357">
        <v>174.1</v>
      </c>
    </row>
    <row r="358" spans="1:11" x14ac:dyDescent="0.35">
      <c r="A358" t="s">
        <v>15</v>
      </c>
      <c r="B358">
        <v>2022</v>
      </c>
      <c r="C358" t="s">
        <v>27</v>
      </c>
      <c r="D358">
        <v>175.64615380000001</v>
      </c>
      <c r="E358">
        <v>197.3</v>
      </c>
      <c r="F358">
        <v>181.33333329999999</v>
      </c>
      <c r="G358">
        <v>170.7</v>
      </c>
      <c r="H358">
        <v>182</v>
      </c>
      <c r="I358">
        <v>172.1</v>
      </c>
      <c r="J358">
        <v>172.55</v>
      </c>
      <c r="K358">
        <v>175.7</v>
      </c>
    </row>
    <row r="359" spans="1:11" x14ac:dyDescent="0.35">
      <c r="A359" t="s">
        <v>11</v>
      </c>
      <c r="B359">
        <v>2023</v>
      </c>
      <c r="C359" t="s">
        <v>12</v>
      </c>
      <c r="D359">
        <v>175.6307692</v>
      </c>
      <c r="E359">
        <v>196.9</v>
      </c>
      <c r="F359">
        <v>187.96666669999999</v>
      </c>
      <c r="G359" t="str">
        <f>""</f>
        <v/>
      </c>
      <c r="H359">
        <v>183.2</v>
      </c>
      <c r="I359">
        <v>177.2</v>
      </c>
      <c r="J359">
        <v>176.2333333</v>
      </c>
      <c r="K359">
        <v>177.8</v>
      </c>
    </row>
    <row r="360" spans="1:11" x14ac:dyDescent="0.35">
      <c r="A360" t="s">
        <v>14</v>
      </c>
      <c r="B360">
        <v>2023</v>
      </c>
      <c r="C360" t="s">
        <v>12</v>
      </c>
      <c r="D360">
        <v>177.70769229999999</v>
      </c>
      <c r="E360">
        <v>201.6</v>
      </c>
      <c r="F360">
        <v>173.53333330000001</v>
      </c>
      <c r="G360">
        <v>172.1</v>
      </c>
      <c r="H360">
        <v>180.1</v>
      </c>
      <c r="I360">
        <v>168</v>
      </c>
      <c r="J360">
        <v>170.8833333</v>
      </c>
      <c r="K360">
        <v>174.9</v>
      </c>
    </row>
    <row r="361" spans="1:11" x14ac:dyDescent="0.35">
      <c r="A361" t="s">
        <v>15</v>
      </c>
      <c r="B361">
        <v>2023</v>
      </c>
      <c r="C361" t="s">
        <v>12</v>
      </c>
      <c r="D361">
        <v>176.36153849999999</v>
      </c>
      <c r="E361">
        <v>198.2</v>
      </c>
      <c r="F361">
        <v>182.1</v>
      </c>
      <c r="G361">
        <v>172.1</v>
      </c>
      <c r="H361">
        <v>182</v>
      </c>
      <c r="I361">
        <v>172.9</v>
      </c>
      <c r="J361">
        <v>173.5166667</v>
      </c>
      <c r="K361">
        <v>176.5</v>
      </c>
    </row>
    <row r="362" spans="1:11" x14ac:dyDescent="0.35">
      <c r="A362" t="s">
        <v>11</v>
      </c>
      <c r="B362">
        <v>2023</v>
      </c>
      <c r="C362" t="s">
        <v>16</v>
      </c>
      <c r="D362">
        <v>174.28461540000001</v>
      </c>
      <c r="E362">
        <v>198.3</v>
      </c>
      <c r="F362">
        <v>188.8666667</v>
      </c>
      <c r="G362" t="str">
        <f>""</f>
        <v/>
      </c>
      <c r="H362">
        <v>181.6</v>
      </c>
      <c r="I362">
        <v>178.6</v>
      </c>
      <c r="J362">
        <v>177.58333329999999</v>
      </c>
      <c r="K362">
        <v>178</v>
      </c>
    </row>
    <row r="363" spans="1:11" x14ac:dyDescent="0.35">
      <c r="A363" t="s">
        <v>14</v>
      </c>
      <c r="B363">
        <v>2023</v>
      </c>
      <c r="C363" t="s">
        <v>16</v>
      </c>
      <c r="D363">
        <v>177.16923080000001</v>
      </c>
      <c r="E363">
        <v>202.7</v>
      </c>
      <c r="F363">
        <v>175.16666670000001</v>
      </c>
      <c r="G363">
        <v>173.5</v>
      </c>
      <c r="H363">
        <v>182.8</v>
      </c>
      <c r="I363">
        <v>169.2</v>
      </c>
      <c r="J363">
        <v>172.15</v>
      </c>
      <c r="K363">
        <v>176.3</v>
      </c>
    </row>
    <row r="364" spans="1:11" x14ac:dyDescent="0.35">
      <c r="A364" t="s">
        <v>15</v>
      </c>
      <c r="B364">
        <v>2023</v>
      </c>
      <c r="C364" t="s">
        <v>16</v>
      </c>
      <c r="D364">
        <v>175.31538459999999</v>
      </c>
      <c r="E364">
        <v>199.5</v>
      </c>
      <c r="F364">
        <v>183.33333329999999</v>
      </c>
      <c r="G364">
        <v>173.5</v>
      </c>
      <c r="H364">
        <v>182.1</v>
      </c>
      <c r="I364">
        <v>174.2</v>
      </c>
      <c r="J364">
        <v>174.83333329999999</v>
      </c>
      <c r="K364">
        <v>177.2</v>
      </c>
    </row>
    <row r="365" spans="1:11" x14ac:dyDescent="0.35">
      <c r="A365" t="s">
        <v>11</v>
      </c>
      <c r="B365">
        <v>2023</v>
      </c>
      <c r="C365" t="s">
        <v>17</v>
      </c>
      <c r="D365">
        <v>174.29230770000001</v>
      </c>
      <c r="E365">
        <v>198.4</v>
      </c>
      <c r="F365">
        <v>188.8666667</v>
      </c>
      <c r="G365" t="str">
        <f>""</f>
        <v/>
      </c>
      <c r="H365">
        <v>181.4</v>
      </c>
      <c r="I365">
        <v>178.6</v>
      </c>
      <c r="J365">
        <v>177.58333329999999</v>
      </c>
      <c r="K365">
        <v>178</v>
      </c>
    </row>
    <row r="366" spans="1:11" x14ac:dyDescent="0.35">
      <c r="A366" t="s">
        <v>14</v>
      </c>
      <c r="B366">
        <v>2023</v>
      </c>
      <c r="C366" t="s">
        <v>17</v>
      </c>
      <c r="D366">
        <v>177.18461540000001</v>
      </c>
      <c r="E366">
        <v>202.7</v>
      </c>
      <c r="F366">
        <v>175.1333333</v>
      </c>
      <c r="G366">
        <v>173.5</v>
      </c>
      <c r="H366">
        <v>182.6</v>
      </c>
      <c r="I366">
        <v>169.2</v>
      </c>
      <c r="J366">
        <v>172.16666670000001</v>
      </c>
      <c r="K366">
        <v>176.3</v>
      </c>
    </row>
    <row r="367" spans="1:11" x14ac:dyDescent="0.35">
      <c r="A367" t="s">
        <v>15</v>
      </c>
      <c r="B367">
        <v>2023</v>
      </c>
      <c r="C367" t="s">
        <v>17</v>
      </c>
      <c r="D367">
        <v>175.32307689999999</v>
      </c>
      <c r="E367">
        <v>199.5</v>
      </c>
      <c r="F367">
        <v>183.3</v>
      </c>
      <c r="G367">
        <v>173.5</v>
      </c>
      <c r="H367">
        <v>181.9</v>
      </c>
      <c r="I367">
        <v>174.2</v>
      </c>
      <c r="J367">
        <v>174.83333329999999</v>
      </c>
      <c r="K367">
        <v>177.2</v>
      </c>
    </row>
    <row r="368" spans="1:11" x14ac:dyDescent="0.35">
      <c r="A368" t="s">
        <v>11</v>
      </c>
      <c r="B368">
        <v>2023</v>
      </c>
      <c r="C368" t="s">
        <v>18</v>
      </c>
      <c r="D368">
        <v>174.93846149999999</v>
      </c>
      <c r="E368">
        <v>199.5</v>
      </c>
      <c r="F368">
        <v>189.4</v>
      </c>
      <c r="G368" t="str">
        <f>""</f>
        <v/>
      </c>
      <c r="H368">
        <v>181.5</v>
      </c>
      <c r="I368">
        <v>179.1</v>
      </c>
      <c r="J368">
        <v>178.65</v>
      </c>
      <c r="K368">
        <v>178.8</v>
      </c>
    </row>
    <row r="369" spans="1:11" x14ac:dyDescent="0.35">
      <c r="A369" t="s">
        <v>14</v>
      </c>
      <c r="B369">
        <v>2023</v>
      </c>
      <c r="C369" t="s">
        <v>18</v>
      </c>
      <c r="D369">
        <v>178.28461540000001</v>
      </c>
      <c r="E369">
        <v>203.5</v>
      </c>
      <c r="F369">
        <v>175.8666667</v>
      </c>
      <c r="G369">
        <v>175.2</v>
      </c>
      <c r="H369">
        <v>182.1</v>
      </c>
      <c r="I369">
        <v>169.6</v>
      </c>
      <c r="J369">
        <v>173.31666670000001</v>
      </c>
      <c r="K369">
        <v>177.4</v>
      </c>
    </row>
    <row r="370" spans="1:11" x14ac:dyDescent="0.35">
      <c r="A370" t="s">
        <v>15</v>
      </c>
      <c r="B370">
        <v>2023</v>
      </c>
      <c r="C370" t="s">
        <v>18</v>
      </c>
      <c r="D370">
        <v>176.1230769</v>
      </c>
      <c r="E370">
        <v>200.6</v>
      </c>
      <c r="F370">
        <v>183.93333329999999</v>
      </c>
      <c r="G370">
        <v>175.2</v>
      </c>
      <c r="H370">
        <v>181.7</v>
      </c>
      <c r="I370">
        <v>174.6</v>
      </c>
      <c r="J370">
        <v>175.93333329999999</v>
      </c>
      <c r="K370">
        <v>178.1</v>
      </c>
    </row>
    <row r="371" spans="1:11" x14ac:dyDescent="0.35">
      <c r="A371" t="s">
        <v>11</v>
      </c>
      <c r="B371">
        <v>2023</v>
      </c>
      <c r="C371" t="s">
        <v>19</v>
      </c>
      <c r="D371">
        <v>176.20769229999999</v>
      </c>
      <c r="E371">
        <v>199.9</v>
      </c>
      <c r="F371">
        <v>189.96666669999999</v>
      </c>
      <c r="G371" t="str">
        <f>""</f>
        <v/>
      </c>
      <c r="H371">
        <v>182.5</v>
      </c>
      <c r="I371">
        <v>179.8</v>
      </c>
      <c r="J371">
        <v>179.33333329999999</v>
      </c>
      <c r="K371">
        <v>179.8</v>
      </c>
    </row>
    <row r="372" spans="1:11" x14ac:dyDescent="0.35">
      <c r="A372" t="s">
        <v>14</v>
      </c>
      <c r="B372">
        <v>2023</v>
      </c>
      <c r="C372" t="s">
        <v>19</v>
      </c>
      <c r="D372">
        <v>179.6230769</v>
      </c>
      <c r="E372">
        <v>204.2</v>
      </c>
      <c r="F372">
        <v>176.2333333</v>
      </c>
      <c r="G372">
        <v>175.6</v>
      </c>
      <c r="H372">
        <v>183.4</v>
      </c>
      <c r="I372">
        <v>170.1</v>
      </c>
      <c r="J372">
        <v>173.96666669999999</v>
      </c>
      <c r="K372">
        <v>178.2</v>
      </c>
    </row>
    <row r="373" spans="1:11" x14ac:dyDescent="0.35">
      <c r="A373" t="s">
        <v>15</v>
      </c>
      <c r="B373">
        <v>2023</v>
      </c>
      <c r="C373" t="s">
        <v>19</v>
      </c>
      <c r="D373">
        <v>177.45384619999999</v>
      </c>
      <c r="E373">
        <v>201</v>
      </c>
      <c r="F373">
        <v>184.4</v>
      </c>
      <c r="G373">
        <v>175.6</v>
      </c>
      <c r="H373">
        <v>182.8</v>
      </c>
      <c r="I373">
        <v>175.2</v>
      </c>
      <c r="J373">
        <v>176.6166667</v>
      </c>
      <c r="K373">
        <v>179.1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100F1-C5D2-437B-BC14-87C3CA42375B}">
  <dimension ref="A1:C16"/>
  <sheetViews>
    <sheetView workbookViewId="0">
      <selection activeCell="C14" sqref="C14"/>
    </sheetView>
  </sheetViews>
  <sheetFormatPr defaultRowHeight="14.5" x14ac:dyDescent="0.35"/>
  <cols>
    <col min="1" max="1" width="35.81640625" style="1" bestFit="1" customWidth="1"/>
    <col min="2" max="2" width="16.26953125" style="1" customWidth="1"/>
    <col min="3" max="3" width="9.26953125" style="1" bestFit="1" customWidth="1"/>
    <col min="4" max="16384" width="8.7265625" style="1"/>
  </cols>
  <sheetData>
    <row r="1" spans="1:3" x14ac:dyDescent="0.35">
      <c r="A1" s="39" t="s">
        <v>183</v>
      </c>
    </row>
    <row r="7" spans="1:3" x14ac:dyDescent="0.35">
      <c r="A7" s="9" t="s">
        <v>58</v>
      </c>
      <c r="B7" s="10" t="s">
        <v>60</v>
      </c>
      <c r="C7" s="11" t="s">
        <v>59</v>
      </c>
    </row>
    <row r="8" spans="1:3" x14ac:dyDescent="0.35">
      <c r="A8" s="2" t="s">
        <v>52</v>
      </c>
      <c r="B8" s="3">
        <f>AVERAGE('BROADER INDEX'!E371:E373)</f>
        <v>201.70000000000002</v>
      </c>
      <c r="C8" s="4">
        <f t="shared" ref="C8:C14" si="0">SUM(B8)/SUM($B$8:$B$14)</f>
        <v>0.15842382429239824</v>
      </c>
    </row>
    <row r="9" spans="1:3" x14ac:dyDescent="0.35">
      <c r="A9" s="2" t="s">
        <v>57</v>
      </c>
      <c r="B9" s="3">
        <f>AVERAGE('BROADER INDEX'!F371:F373)</f>
        <v>183.53333333333333</v>
      </c>
      <c r="C9" s="4">
        <f t="shared" si="0"/>
        <v>0.14415494572036763</v>
      </c>
    </row>
    <row r="10" spans="1:3" x14ac:dyDescent="0.35">
      <c r="A10" s="2" t="s">
        <v>55</v>
      </c>
      <c r="B10" s="3">
        <f>AVERAGE('BROADER INDEX'!H371:H373)</f>
        <v>182.9</v>
      </c>
      <c r="C10" s="4">
        <f t="shared" si="0"/>
        <v>0.14365749857748952</v>
      </c>
    </row>
    <row r="11" spans="1:3" x14ac:dyDescent="0.35">
      <c r="A11" s="2" t="s">
        <v>51</v>
      </c>
      <c r="B11" s="3">
        <f>AVERAGE('BROADER INDEX'!D371:D373)</f>
        <v>177.76153846666662</v>
      </c>
      <c r="C11" s="4">
        <f t="shared" si="0"/>
        <v>0.1396215306692592</v>
      </c>
    </row>
    <row r="12" spans="1:3" x14ac:dyDescent="0.35">
      <c r="A12" s="2" t="s">
        <v>54</v>
      </c>
      <c r="B12" s="3">
        <f>AVERAGE('BROADER INDEX'!J371:J373)</f>
        <v>176.63888889999998</v>
      </c>
      <c r="C12" s="4">
        <f t="shared" si="0"/>
        <v>0.13873975358600915</v>
      </c>
    </row>
    <row r="13" spans="1:3" x14ac:dyDescent="0.35">
      <c r="A13" s="2" t="s">
        <v>56</v>
      </c>
      <c r="B13" s="3">
        <f>AVERAGE('BROADER INDEX'!G371:G373)</f>
        <v>175.6</v>
      </c>
      <c r="C13" s="4">
        <f t="shared" si="0"/>
        <v>0.13792376572010473</v>
      </c>
    </row>
    <row r="14" spans="1:3" x14ac:dyDescent="0.35">
      <c r="A14" s="5" t="s">
        <v>53</v>
      </c>
      <c r="B14" s="6">
        <f>AVERAGE('BROADER INDEX'!I371:I373)</f>
        <v>175.0333333333333</v>
      </c>
      <c r="C14" s="7">
        <f t="shared" si="0"/>
        <v>0.13747868143437164</v>
      </c>
    </row>
    <row r="16" spans="1:3" x14ac:dyDescent="0.35">
      <c r="C16" s="32"/>
    </row>
  </sheetData>
  <conditionalFormatting sqref="C8:C14">
    <cfRule type="colorScale" priority="1">
      <colorScale>
        <cfvo type="min"/>
        <cfvo type="percentile" val="50"/>
        <cfvo type="max"/>
        <color rgb="FF63BE7B"/>
        <color rgb="FFFFEB84"/>
        <color rgb="FFF8696B"/>
      </colorScale>
    </cfRule>
  </conditionalFormatting>
  <pageMargins left="0.7" right="0.7" top="0.75" bottom="0.75" header="0.3" footer="0.3"/>
  <ignoredErrors>
    <ignoredError sqref="B8:B14" formulaRange="1"/>
  </ignoredErrors>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7479-C2FF-4302-9467-6D27CE8564E7}">
  <dimension ref="A1:C42"/>
  <sheetViews>
    <sheetView workbookViewId="0">
      <selection activeCell="C13" sqref="C13"/>
    </sheetView>
  </sheetViews>
  <sheetFormatPr defaultRowHeight="14.5" x14ac:dyDescent="0.35"/>
  <cols>
    <col min="1" max="1" width="11.08984375" style="1" customWidth="1"/>
    <col min="2" max="2" width="24.08984375" style="1" customWidth="1"/>
    <col min="3" max="3" width="20.453125" style="1" customWidth="1"/>
    <col min="4" max="4" width="8.7265625" style="1"/>
    <col min="5" max="5" width="8.7265625" style="1" customWidth="1"/>
    <col min="6" max="16384" width="8.7265625" style="1"/>
  </cols>
  <sheetData>
    <row r="1" spans="1:3" x14ac:dyDescent="0.35">
      <c r="A1" s="39" t="s">
        <v>184</v>
      </c>
    </row>
    <row r="6" spans="1:3" x14ac:dyDescent="0.35">
      <c r="A6" s="8" t="s">
        <v>1</v>
      </c>
      <c r="B6" s="8" t="s">
        <v>61</v>
      </c>
      <c r="C6" s="13" t="s">
        <v>62</v>
      </c>
    </row>
    <row r="7" spans="1:3" x14ac:dyDescent="0.35">
      <c r="A7" s="14">
        <v>2017</v>
      </c>
      <c r="B7" s="12">
        <v>133.49999999999997</v>
      </c>
      <c r="C7" s="15">
        <v>3.3300000000000003E-2</v>
      </c>
    </row>
    <row r="8" spans="1:3" x14ac:dyDescent="0.35">
      <c r="A8" s="16">
        <v>2018</v>
      </c>
      <c r="B8" s="17">
        <v>138.77500000000001</v>
      </c>
      <c r="C8" s="15">
        <v>3.95E-2</v>
      </c>
    </row>
    <row r="9" spans="1:3" x14ac:dyDescent="0.35">
      <c r="A9" s="14">
        <v>2019</v>
      </c>
      <c r="B9" s="12">
        <v>144.18181818181822</v>
      </c>
      <c r="C9" s="15">
        <v>3.9E-2</v>
      </c>
    </row>
    <row r="10" spans="1:3" x14ac:dyDescent="0.35">
      <c r="A10" s="16">
        <v>2020</v>
      </c>
      <c r="B10" s="17">
        <v>153.38</v>
      </c>
      <c r="C10" s="15">
        <v>6.3799999999999996E-2</v>
      </c>
    </row>
    <row r="11" spans="1:3" x14ac:dyDescent="0.35">
      <c r="A11" s="14">
        <v>2021</v>
      </c>
      <c r="B11" s="12">
        <v>161.45833333333331</v>
      </c>
      <c r="C11" s="15">
        <v>5.2699999999999997E-2</v>
      </c>
    </row>
    <row r="12" spans="1:3" x14ac:dyDescent="0.35">
      <c r="A12" s="16">
        <v>2022</v>
      </c>
      <c r="B12" s="17">
        <v>172.14999999999998</v>
      </c>
      <c r="C12" s="15">
        <v>6.6199999999999995E-2</v>
      </c>
    </row>
    <row r="13" spans="1:3" x14ac:dyDescent="0.35">
      <c r="A13" s="14">
        <v>2023</v>
      </c>
      <c r="B13" s="12">
        <v>177.61999999999998</v>
      </c>
      <c r="C13" s="15">
        <v>3.1800000000000002E-2</v>
      </c>
    </row>
    <row r="21" spans="1:1" x14ac:dyDescent="0.35">
      <c r="A21" s="12" t="s">
        <v>135</v>
      </c>
    </row>
    <row r="23" spans="1:1" x14ac:dyDescent="0.35">
      <c r="A23" s="12" t="s">
        <v>63</v>
      </c>
    </row>
    <row r="24" spans="1:1" x14ac:dyDescent="0.35">
      <c r="A24" s="1" t="s">
        <v>136</v>
      </c>
    </row>
    <row r="25" spans="1:1" x14ac:dyDescent="0.35">
      <c r="A25" s="1" t="s">
        <v>69</v>
      </c>
    </row>
    <row r="26" spans="1:1" x14ac:dyDescent="0.35">
      <c r="A26" s="1" t="s">
        <v>70</v>
      </c>
    </row>
    <row r="27" spans="1:1" x14ac:dyDescent="0.35">
      <c r="A27" s="1" t="s">
        <v>71</v>
      </c>
    </row>
    <row r="29" spans="1:1" x14ac:dyDescent="0.35">
      <c r="A29" s="12" t="s">
        <v>64</v>
      </c>
    </row>
    <row r="30" spans="1:1" x14ac:dyDescent="0.35">
      <c r="A30" s="1" t="s">
        <v>72</v>
      </c>
    </row>
    <row r="31" spans="1:1" x14ac:dyDescent="0.35">
      <c r="A31" s="1" t="s">
        <v>137</v>
      </c>
    </row>
    <row r="33" spans="1:1" x14ac:dyDescent="0.35">
      <c r="A33" s="12" t="s">
        <v>65</v>
      </c>
    </row>
    <row r="34" spans="1:1" x14ac:dyDescent="0.35">
      <c r="A34" s="1" t="s">
        <v>138</v>
      </c>
    </row>
    <row r="36" spans="1:1" x14ac:dyDescent="0.35">
      <c r="A36" s="12" t="s">
        <v>66</v>
      </c>
    </row>
    <row r="37" spans="1:1" x14ac:dyDescent="0.35">
      <c r="A37" s="1" t="s">
        <v>139</v>
      </c>
    </row>
    <row r="38" spans="1:1" x14ac:dyDescent="0.35">
      <c r="A38" s="1" t="s">
        <v>141</v>
      </c>
    </row>
    <row r="40" spans="1:1" x14ac:dyDescent="0.35">
      <c r="A40" s="12" t="s">
        <v>67</v>
      </c>
    </row>
    <row r="41" spans="1:1" x14ac:dyDescent="0.35">
      <c r="A41" s="1" t="s">
        <v>68</v>
      </c>
    </row>
    <row r="42" spans="1:1" x14ac:dyDescent="0.35">
      <c r="A42" s="1" t="s">
        <v>140</v>
      </c>
    </row>
  </sheetData>
  <conditionalFormatting sqref="B7:B13">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B5A3-4339-4813-845D-F8717D25717F}">
  <dimension ref="A1:N40"/>
  <sheetViews>
    <sheetView topLeftCell="F19" workbookViewId="0">
      <selection activeCell="G38" sqref="G38"/>
    </sheetView>
  </sheetViews>
  <sheetFormatPr defaultRowHeight="14.5" x14ac:dyDescent="0.35"/>
  <cols>
    <col min="1" max="1" width="12.08984375" style="1" customWidth="1"/>
    <col min="2" max="2" width="29.81640625" style="1" customWidth="1"/>
    <col min="3" max="3" width="28.90625" style="1" customWidth="1"/>
    <col min="4" max="4" width="42.1796875" style="1" customWidth="1"/>
    <col min="5" max="5" width="32.453125" style="1" customWidth="1"/>
    <col min="6" max="6" width="17.26953125" style="1" customWidth="1"/>
    <col min="7" max="7" width="32.6328125" style="1" customWidth="1"/>
    <col min="8" max="8" width="29" style="1" customWidth="1"/>
    <col min="9" max="9" width="21.36328125" style="1" customWidth="1"/>
    <col min="10" max="10" width="16.90625" style="1" customWidth="1"/>
    <col min="11" max="11" width="22.54296875" style="1" customWidth="1"/>
    <col min="12" max="12" width="27.36328125" style="1" customWidth="1"/>
    <col min="13" max="13" width="15" style="1" customWidth="1"/>
    <col min="14" max="14" width="23.7265625" style="1" customWidth="1"/>
    <col min="15" max="16384" width="8.7265625" style="1"/>
  </cols>
  <sheetData>
    <row r="1" spans="1:4" x14ac:dyDescent="0.35">
      <c r="A1" s="39" t="s">
        <v>185</v>
      </c>
    </row>
    <row r="5" spans="1:4" x14ac:dyDescent="0.35">
      <c r="A5" s="18" t="s">
        <v>1</v>
      </c>
      <c r="B5" s="19" t="s">
        <v>2</v>
      </c>
      <c r="C5" s="19" t="s">
        <v>73</v>
      </c>
      <c r="D5" s="11" t="s">
        <v>74</v>
      </c>
    </row>
    <row r="6" spans="1:4" x14ac:dyDescent="0.35">
      <c r="A6" s="20">
        <v>2022</v>
      </c>
      <c r="B6" s="21" t="s">
        <v>20</v>
      </c>
      <c r="C6" s="21">
        <v>174.29999999999998</v>
      </c>
      <c r="D6" s="4">
        <v>1.04E-2</v>
      </c>
    </row>
    <row r="7" spans="1:4" x14ac:dyDescent="0.35">
      <c r="A7" s="20">
        <v>2022</v>
      </c>
      <c r="B7" s="21" t="s">
        <v>21</v>
      </c>
      <c r="C7" s="21">
        <v>174.62564103333332</v>
      </c>
      <c r="D7" s="4">
        <v>1.9E-3</v>
      </c>
    </row>
    <row r="8" spans="1:4" x14ac:dyDescent="0.35">
      <c r="A8" s="20">
        <v>2022</v>
      </c>
      <c r="B8" s="21" t="s">
        <v>22</v>
      </c>
      <c r="C8" s="21">
        <v>174.83846153333334</v>
      </c>
      <c r="D8" s="4">
        <v>1.1999999999999999E-3</v>
      </c>
    </row>
    <row r="9" spans="1:4" x14ac:dyDescent="0.35">
      <c r="A9" s="20">
        <v>2022</v>
      </c>
      <c r="B9" s="21" t="s">
        <v>23</v>
      </c>
      <c r="C9" s="21">
        <v>175.77179486666668</v>
      </c>
      <c r="D9" s="4">
        <v>5.3E-3</v>
      </c>
    </row>
    <row r="10" spans="1:4" x14ac:dyDescent="0.35">
      <c r="A10" s="20">
        <v>2022</v>
      </c>
      <c r="B10" s="21" t="s">
        <v>24</v>
      </c>
      <c r="C10" s="21">
        <v>177.02820510000001</v>
      </c>
      <c r="D10" s="4">
        <v>7.1000000000000004E-3</v>
      </c>
    </row>
    <row r="11" spans="1:4" x14ac:dyDescent="0.35">
      <c r="A11" s="20">
        <v>2022</v>
      </c>
      <c r="B11" s="21" t="s">
        <v>26</v>
      </c>
      <c r="C11" s="21">
        <v>176.8948718</v>
      </c>
      <c r="D11" s="4">
        <v>-8.0000000000000004E-4</v>
      </c>
    </row>
    <row r="12" spans="1:4" x14ac:dyDescent="0.35">
      <c r="A12" s="20">
        <v>2022</v>
      </c>
      <c r="B12" s="21" t="s">
        <v>27</v>
      </c>
      <c r="C12" s="21">
        <v>175.80256410000001</v>
      </c>
      <c r="D12" s="4">
        <v>-6.1999999999999998E-3</v>
      </c>
    </row>
    <row r="13" spans="1:4" x14ac:dyDescent="0.35">
      <c r="A13" s="20">
        <v>2023</v>
      </c>
      <c r="B13" s="21" t="s">
        <v>12</v>
      </c>
      <c r="C13" s="21">
        <v>176.56666666666669</v>
      </c>
      <c r="D13" s="4">
        <v>4.3E-3</v>
      </c>
    </row>
    <row r="14" spans="1:4" x14ac:dyDescent="0.35">
      <c r="A14" s="22">
        <v>2023</v>
      </c>
      <c r="B14" s="23" t="s">
        <v>16</v>
      </c>
      <c r="C14" s="23">
        <v>175.58974360000002</v>
      </c>
      <c r="D14" s="7">
        <v>-5.4999999999999997E-3</v>
      </c>
    </row>
    <row r="15" spans="1:4" x14ac:dyDescent="0.35">
      <c r="A15" s="20">
        <v>2023</v>
      </c>
      <c r="B15" s="21" t="s">
        <v>17</v>
      </c>
      <c r="C15" s="21">
        <v>175.60000000000002</v>
      </c>
      <c r="D15" s="4">
        <v>1E-4</v>
      </c>
    </row>
    <row r="16" spans="1:4" x14ac:dyDescent="0.35">
      <c r="A16" s="20">
        <v>2023</v>
      </c>
      <c r="B16" s="21" t="s">
        <v>18</v>
      </c>
      <c r="C16" s="21">
        <v>176.44871793333334</v>
      </c>
      <c r="D16" s="4">
        <v>4.7999999999999996E-3</v>
      </c>
    </row>
    <row r="17" spans="1:14" x14ac:dyDescent="0.35">
      <c r="A17" s="20">
        <v>2023</v>
      </c>
      <c r="B17" s="21" t="s">
        <v>19</v>
      </c>
      <c r="C17" s="21">
        <v>177.76153846666668</v>
      </c>
      <c r="D17" s="4">
        <v>7.4000000000000003E-3</v>
      </c>
    </row>
    <row r="22" spans="1:14" x14ac:dyDescent="0.35">
      <c r="A22" s="13" t="s">
        <v>75</v>
      </c>
      <c r="B22" s="13" t="s">
        <v>142</v>
      </c>
      <c r="C22" s="13" t="s">
        <v>143</v>
      </c>
      <c r="D22" s="13" t="s">
        <v>144</v>
      </c>
      <c r="E22" s="13" t="s">
        <v>145</v>
      </c>
      <c r="F22" s="13" t="s">
        <v>146</v>
      </c>
      <c r="G22" s="13" t="s">
        <v>147</v>
      </c>
      <c r="H22" s="13" t="s">
        <v>148</v>
      </c>
      <c r="I22" s="13" t="s">
        <v>149</v>
      </c>
      <c r="J22" s="13" t="s">
        <v>150</v>
      </c>
      <c r="K22" s="13" t="s">
        <v>151</v>
      </c>
      <c r="L22" s="13" t="s">
        <v>152</v>
      </c>
      <c r="M22" s="13" t="s">
        <v>153</v>
      </c>
      <c r="N22" s="13" t="s">
        <v>154</v>
      </c>
    </row>
    <row r="23" spans="1:14" x14ac:dyDescent="0.35">
      <c r="A23" s="12">
        <v>2022</v>
      </c>
      <c r="B23" s="12"/>
      <c r="C23" s="12"/>
      <c r="D23" s="12"/>
      <c r="E23" s="12"/>
      <c r="F23" s="12"/>
      <c r="G23" s="12"/>
      <c r="H23" s="12"/>
      <c r="I23" s="12"/>
      <c r="J23" s="12"/>
      <c r="K23" s="12"/>
      <c r="L23" s="12"/>
      <c r="M23" s="12"/>
      <c r="N23" s="12"/>
    </row>
    <row r="24" spans="1:14" x14ac:dyDescent="0.35">
      <c r="A24" s="12" t="s">
        <v>19</v>
      </c>
      <c r="B24" s="12">
        <v>154.56666666666669</v>
      </c>
      <c r="C24" s="12">
        <v>173.86666666666667</v>
      </c>
      <c r="D24" s="12">
        <v>182.6</v>
      </c>
      <c r="E24" s="12">
        <v>166.26666666666665</v>
      </c>
      <c r="F24" s="12">
        <v>184.29999999999998</v>
      </c>
      <c r="G24" s="12">
        <v>119.93333333333334</v>
      </c>
      <c r="H24" s="12">
        <v>164.6</v>
      </c>
      <c r="I24" s="12">
        <v>179.5</v>
      </c>
      <c r="J24" s="12">
        <v>171.16666666666666</v>
      </c>
      <c r="K24" s="12">
        <v>200.6</v>
      </c>
      <c r="L24" s="12">
        <v>164.96666666666667</v>
      </c>
      <c r="M24" s="12">
        <v>162.63333333333333</v>
      </c>
      <c r="N24" s="12">
        <v>217.63333333333333</v>
      </c>
    </row>
    <row r="25" spans="1:14" x14ac:dyDescent="0.35">
      <c r="A25" s="12" t="s">
        <v>20</v>
      </c>
      <c r="B25" s="12">
        <v>155.43333333333334</v>
      </c>
      <c r="C25" s="12">
        <v>175.53333333333333</v>
      </c>
      <c r="D25" s="12">
        <v>184.03333333333333</v>
      </c>
      <c r="E25" s="12">
        <v>167.06666666666663</v>
      </c>
      <c r="F25" s="12">
        <v>186.5</v>
      </c>
      <c r="G25" s="12">
        <v>120.13333333333333</v>
      </c>
      <c r="H25" s="12">
        <v>164.16666666666666</v>
      </c>
      <c r="I25" s="12">
        <v>187.03333333333333</v>
      </c>
      <c r="J25" s="12">
        <v>169.86666666666665</v>
      </c>
      <c r="K25" s="12">
        <v>199.20000000000002</v>
      </c>
      <c r="L25" s="12">
        <v>165.86666666666667</v>
      </c>
      <c r="M25" s="12">
        <v>171.06666666666669</v>
      </c>
      <c r="N25" s="12">
        <v>220</v>
      </c>
    </row>
    <row r="26" spans="1:14" x14ac:dyDescent="0.35">
      <c r="A26" s="12" t="s">
        <v>21</v>
      </c>
      <c r="B26" s="12">
        <v>157</v>
      </c>
      <c r="C26" s="12">
        <v>175.63333333333333</v>
      </c>
      <c r="D26" s="12">
        <v>185.33333333333334</v>
      </c>
      <c r="E26" s="12">
        <v>167.56666666666669</v>
      </c>
      <c r="F26" s="12">
        <v>189.36666666666667</v>
      </c>
      <c r="G26" s="12">
        <v>120.23333333333333</v>
      </c>
      <c r="H26" s="12">
        <v>164.23333333333332</v>
      </c>
      <c r="I26" s="12">
        <v>186.4</v>
      </c>
      <c r="J26" s="12">
        <v>174.43333333333331</v>
      </c>
      <c r="K26" s="12">
        <v>194.26666666666665</v>
      </c>
      <c r="L26" s="12">
        <v>166.66666666666666</v>
      </c>
      <c r="M26" s="12">
        <v>175.36666666666665</v>
      </c>
      <c r="N26" s="12">
        <v>213.63333333333333</v>
      </c>
    </row>
    <row r="27" spans="1:14" x14ac:dyDescent="0.35">
      <c r="A27" s="12" t="s">
        <v>22</v>
      </c>
      <c r="B27" s="12">
        <v>160.63333333333335</v>
      </c>
      <c r="C27" s="12">
        <v>176.86666666666667</v>
      </c>
      <c r="D27" s="12">
        <v>186.4</v>
      </c>
      <c r="E27" s="12">
        <v>168.03333333333333</v>
      </c>
      <c r="F27" s="12">
        <v>192.96666666666667</v>
      </c>
      <c r="G27" s="12">
        <v>121.10000000000001</v>
      </c>
      <c r="H27" s="12">
        <v>167.2</v>
      </c>
      <c r="I27" s="12">
        <v>190.96666666666667</v>
      </c>
      <c r="J27" s="12">
        <v>173.06666666666663</v>
      </c>
      <c r="K27" s="12">
        <v>191</v>
      </c>
      <c r="L27" s="12">
        <v>168.13333333333333</v>
      </c>
      <c r="M27" s="12">
        <v>169.36666666666665</v>
      </c>
      <c r="N27" s="12">
        <v>207.16666666666666</v>
      </c>
    </row>
    <row r="28" spans="1:14" x14ac:dyDescent="0.35">
      <c r="A28" s="12" t="s">
        <v>23</v>
      </c>
      <c r="B28" s="12">
        <v>163.76666666666668</v>
      </c>
      <c r="C28" s="12">
        <v>178.36666666666667</v>
      </c>
      <c r="D28" s="12">
        <v>187.53333333333333</v>
      </c>
      <c r="E28" s="12">
        <v>168.63333333333333</v>
      </c>
      <c r="F28" s="12">
        <v>196.66666666666666</v>
      </c>
      <c r="G28" s="12">
        <v>121.83333333333333</v>
      </c>
      <c r="H28" s="12">
        <v>169.1</v>
      </c>
      <c r="I28" s="12">
        <v>196.5</v>
      </c>
      <c r="J28" s="12">
        <v>165.76666666666668</v>
      </c>
      <c r="K28" s="12">
        <v>187.36666666666665</v>
      </c>
      <c r="L28" s="12">
        <v>169.76666666666668</v>
      </c>
      <c r="M28" s="12">
        <v>169.86666666666665</v>
      </c>
      <c r="N28" s="12">
        <v>209.86666666666665</v>
      </c>
    </row>
    <row r="29" spans="1:14" x14ac:dyDescent="0.35">
      <c r="A29" s="12" t="s">
        <v>24</v>
      </c>
      <c r="B29" s="12">
        <v>165.43333333333334</v>
      </c>
      <c r="C29" s="12">
        <v>180.10000000000002</v>
      </c>
      <c r="D29" s="12">
        <v>188.4666666666667</v>
      </c>
      <c r="E29" s="12">
        <v>169.1</v>
      </c>
      <c r="F29" s="12">
        <v>199.29999999999998</v>
      </c>
      <c r="G29" s="12">
        <v>122.13333333333333</v>
      </c>
      <c r="H29" s="12">
        <v>169.8</v>
      </c>
      <c r="I29" s="12">
        <v>204.36666666666665</v>
      </c>
      <c r="J29" s="12">
        <v>163.9</v>
      </c>
      <c r="K29" s="12">
        <v>185.26666666666665</v>
      </c>
      <c r="L29" s="12">
        <v>170.93333333333331</v>
      </c>
      <c r="M29" s="12">
        <v>171.03333333333333</v>
      </c>
      <c r="N29" s="12">
        <v>211.53333333333333</v>
      </c>
    </row>
    <row r="30" spans="1:14" x14ac:dyDescent="0.35">
      <c r="A30" s="12" t="s">
        <v>26</v>
      </c>
      <c r="B30" s="12">
        <v>167.56666666666669</v>
      </c>
      <c r="C30" s="12">
        <v>178.73333333333335</v>
      </c>
      <c r="D30" s="12">
        <v>189.6</v>
      </c>
      <c r="E30" s="12">
        <v>169.63333333333333</v>
      </c>
      <c r="F30" s="12">
        <v>202.13333333333335</v>
      </c>
      <c r="G30" s="12">
        <v>122.33333333333333</v>
      </c>
      <c r="H30" s="12">
        <v>170.56666666666666</v>
      </c>
      <c r="I30" s="12">
        <v>186.73333333333335</v>
      </c>
      <c r="J30" s="12">
        <v>160.79999999999998</v>
      </c>
      <c r="K30" s="12">
        <v>187.63333333333333</v>
      </c>
      <c r="L30" s="12">
        <v>172.30000000000004</v>
      </c>
      <c r="M30" s="12">
        <v>181.6</v>
      </c>
      <c r="N30" s="12">
        <v>210</v>
      </c>
    </row>
    <row r="31" spans="1:14" x14ac:dyDescent="0.35">
      <c r="A31" s="12" t="s">
        <v>27</v>
      </c>
      <c r="B31" s="12">
        <v>169.4</v>
      </c>
      <c r="C31" s="12">
        <v>176.29999999999998</v>
      </c>
      <c r="D31" s="12">
        <v>190.43333333333331</v>
      </c>
      <c r="E31" s="12">
        <v>170.20000000000002</v>
      </c>
      <c r="F31" s="12">
        <v>204.4</v>
      </c>
      <c r="G31" s="12">
        <v>122.03333333333335</v>
      </c>
      <c r="H31" s="12">
        <v>170.86666666666667</v>
      </c>
      <c r="I31" s="12">
        <v>162.93333333333331</v>
      </c>
      <c r="J31" s="12">
        <v>158.06666666666666</v>
      </c>
      <c r="K31" s="12">
        <v>187.16666666666666</v>
      </c>
      <c r="L31" s="12">
        <v>173.63333333333333</v>
      </c>
      <c r="M31" s="12">
        <v>190.4</v>
      </c>
      <c r="N31" s="12">
        <v>209.6</v>
      </c>
    </row>
    <row r="32" spans="1:14" x14ac:dyDescent="0.35">
      <c r="A32" s="12">
        <v>2023</v>
      </c>
      <c r="B32" s="12"/>
      <c r="C32" s="12"/>
      <c r="D32" s="12"/>
      <c r="E32" s="12"/>
      <c r="F32" s="12"/>
      <c r="G32" s="12"/>
      <c r="H32" s="12"/>
      <c r="I32" s="12"/>
      <c r="J32" s="12"/>
      <c r="K32" s="12"/>
      <c r="L32" s="12"/>
      <c r="M32" s="12"/>
      <c r="N32" s="12"/>
    </row>
    <row r="33" spans="1:14" x14ac:dyDescent="0.35">
      <c r="A33" s="12" t="s">
        <v>12</v>
      </c>
      <c r="B33" s="12">
        <v>173.70000000000002</v>
      </c>
      <c r="C33" s="12">
        <v>177.06666666666669</v>
      </c>
      <c r="D33" s="12">
        <v>191.33333333333334</v>
      </c>
      <c r="E33" s="12">
        <v>170.66666666666666</v>
      </c>
      <c r="F33" s="12">
        <v>207.73333333333335</v>
      </c>
      <c r="G33" s="12">
        <v>121.36666666666667</v>
      </c>
      <c r="H33" s="12">
        <v>170.93333333333331</v>
      </c>
      <c r="I33" s="12">
        <v>157.36666666666667</v>
      </c>
      <c r="J33" s="12">
        <v>158.36666666666667</v>
      </c>
      <c r="K33" s="12">
        <v>185.93333333333331</v>
      </c>
      <c r="L33" s="12">
        <v>174.70000000000002</v>
      </c>
      <c r="M33" s="12">
        <v>194.79999999999998</v>
      </c>
      <c r="N33" s="12">
        <v>211.4</v>
      </c>
    </row>
    <row r="34" spans="1:14" x14ac:dyDescent="0.35">
      <c r="A34" s="12" t="s">
        <v>16</v>
      </c>
      <c r="B34" s="12">
        <v>174.43333333333331</v>
      </c>
      <c r="C34" s="12">
        <v>177.5</v>
      </c>
      <c r="D34" s="12">
        <v>193.16666666666666</v>
      </c>
      <c r="E34" s="12">
        <v>171.6</v>
      </c>
      <c r="F34" s="12">
        <v>208.86666666666665</v>
      </c>
      <c r="G34" s="12">
        <v>120.33333333333333</v>
      </c>
      <c r="H34" s="12">
        <v>171.20000000000002</v>
      </c>
      <c r="I34" s="12">
        <v>156.46666666666667</v>
      </c>
      <c r="J34" s="12">
        <v>169.6</v>
      </c>
      <c r="K34" s="12">
        <v>178.30000000000004</v>
      </c>
      <c r="L34" s="12">
        <v>177.4</v>
      </c>
      <c r="M34" s="12">
        <v>175.43333333333331</v>
      </c>
      <c r="N34" s="12">
        <v>208.36666666666665</v>
      </c>
    </row>
    <row r="35" spans="1:14" x14ac:dyDescent="0.35">
      <c r="A35" s="12" t="s">
        <v>17</v>
      </c>
      <c r="B35" s="12">
        <v>174.46666666666667</v>
      </c>
      <c r="C35" s="12">
        <v>177.53333333333333</v>
      </c>
      <c r="D35" s="12">
        <v>193.16666666666666</v>
      </c>
      <c r="E35" s="12">
        <v>171.6</v>
      </c>
      <c r="F35" s="12">
        <v>208.86666666666665</v>
      </c>
      <c r="G35" s="12">
        <v>120.33333333333333</v>
      </c>
      <c r="H35" s="12">
        <v>171.26666666666665</v>
      </c>
      <c r="I35" s="12">
        <v>156.53333333333333</v>
      </c>
      <c r="J35" s="12">
        <v>169.6</v>
      </c>
      <c r="K35" s="12">
        <v>178.23333333333335</v>
      </c>
      <c r="L35" s="12">
        <v>177.4</v>
      </c>
      <c r="M35" s="12">
        <v>175.43333333333331</v>
      </c>
      <c r="N35" s="12">
        <v>208.36666666666665</v>
      </c>
    </row>
    <row r="36" spans="1:14" x14ac:dyDescent="0.35">
      <c r="A36" s="12" t="s">
        <v>18</v>
      </c>
      <c r="B36" s="12">
        <v>173.9666666666667</v>
      </c>
      <c r="C36" s="12">
        <v>178.5</v>
      </c>
      <c r="D36" s="12">
        <v>193.66666666666666</v>
      </c>
      <c r="E36" s="12">
        <v>172.20000000000002</v>
      </c>
      <c r="F36" s="12">
        <v>212.06666666666669</v>
      </c>
      <c r="G36" s="12">
        <v>121.60000000000001</v>
      </c>
      <c r="H36" s="12">
        <v>173.63333333333333</v>
      </c>
      <c r="I36" s="12">
        <v>159.36666666666667</v>
      </c>
      <c r="J36" s="12">
        <v>176.4</v>
      </c>
      <c r="K36" s="12">
        <v>174.03333333333333</v>
      </c>
      <c r="L36" s="12">
        <v>178.46666666666667</v>
      </c>
      <c r="M36" s="12">
        <v>169.96666666666667</v>
      </c>
      <c r="N36" s="12">
        <v>209.9666666666667</v>
      </c>
    </row>
    <row r="37" spans="1:14" x14ac:dyDescent="0.35">
      <c r="A37" s="12" t="s">
        <v>19</v>
      </c>
      <c r="B37" s="12">
        <v>173.86666666666665</v>
      </c>
      <c r="C37" s="12">
        <v>179.66666666666666</v>
      </c>
      <c r="D37" s="12">
        <v>194.33333333333334</v>
      </c>
      <c r="E37" s="12">
        <v>172.66666666666666</v>
      </c>
      <c r="F37" s="12">
        <v>216.96666666666667</v>
      </c>
      <c r="G37" s="12">
        <v>122.93333333333334</v>
      </c>
      <c r="H37" s="12">
        <v>175.79999999999998</v>
      </c>
      <c r="I37" s="12">
        <v>164.9</v>
      </c>
      <c r="J37" s="12">
        <v>172.33333333333334</v>
      </c>
      <c r="K37" s="12">
        <v>169.23333333333335</v>
      </c>
      <c r="L37" s="12">
        <v>179.5</v>
      </c>
      <c r="M37" s="12">
        <v>173.63333333333333</v>
      </c>
      <c r="N37" s="12">
        <v>215.06666666666669</v>
      </c>
    </row>
    <row r="38" spans="1:14" x14ac:dyDescent="0.35">
      <c r="A38" s="33" t="s">
        <v>134</v>
      </c>
      <c r="B38" s="33">
        <v>166.47948717948717</v>
      </c>
      <c r="C38" s="33">
        <v>177.35897435897439</v>
      </c>
      <c r="D38" s="33">
        <v>189.23589743589747</v>
      </c>
      <c r="E38" s="33">
        <v>169.6333333333333</v>
      </c>
      <c r="F38" s="33">
        <v>200.77948717948721</v>
      </c>
      <c r="G38" s="33">
        <v>121.25384615384614</v>
      </c>
      <c r="H38" s="33">
        <v>169.48974358974354</v>
      </c>
      <c r="I38" s="33">
        <v>176.0820512820512</v>
      </c>
      <c r="J38" s="33">
        <v>167.95128205128205</v>
      </c>
      <c r="K38" s="33">
        <v>186.01794871794868</v>
      </c>
      <c r="L38" s="33">
        <v>172.28717948717949</v>
      </c>
      <c r="M38" s="33">
        <v>175.43076923076916</v>
      </c>
      <c r="N38" s="33">
        <v>211.73846153846142</v>
      </c>
    </row>
    <row r="40" spans="1:14" x14ac:dyDescent="0.35">
      <c r="A40" s="1" t="s">
        <v>155</v>
      </c>
    </row>
  </sheetData>
  <conditionalFormatting sqref="B38:N38">
    <cfRule type="colorScale" priority="1">
      <colorScale>
        <cfvo type="min"/>
        <cfvo type="percentile" val="50"/>
        <cfvo type="max"/>
        <color rgb="FF63BE7B"/>
        <color rgb="FFFFEB84"/>
        <color rgb="FFF8696B"/>
      </colorScale>
    </cfRule>
  </conditionalFormatting>
  <conditionalFormatting sqref="C6:C17">
    <cfRule type="colorScale" priority="3">
      <colorScale>
        <cfvo type="min"/>
        <cfvo type="percentile" val="50"/>
        <cfvo type="max"/>
        <color rgb="FF63BE7B"/>
        <color rgb="FFFFEB84"/>
        <color rgb="FFF8696B"/>
      </colorScale>
    </cfRule>
  </conditionalFormatting>
  <conditionalFormatting sqref="D6:D17">
    <cfRule type="dataBar" priority="2">
      <dataBar>
        <cfvo type="min"/>
        <cfvo type="max"/>
        <color rgb="FFC00000"/>
      </dataBar>
      <extLst>
        <ext xmlns:x14="http://schemas.microsoft.com/office/spreadsheetml/2009/9/main" uri="{B025F937-C7B1-47D3-B67F-A62EFF666E3E}">
          <x14:id>{69F4956F-34C5-4221-8482-DAB1BA52BE57}</x14:id>
        </ext>
      </extLst>
    </cfRule>
  </conditionalFormatting>
  <pageMargins left="0.7" right="0.7" top="0.75" bottom="0.75" header="0.3" footer="0.3"/>
  <pageSetup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69F4956F-34C5-4221-8482-DAB1BA52BE57}">
            <x14:dataBar minLength="0" maxLength="100">
              <x14:cfvo type="autoMin"/>
              <x14:cfvo type="autoMax"/>
              <x14:negativeFillColor rgb="FF00B050"/>
              <x14:axisColor rgb="FF000000"/>
            </x14:dataBar>
          </x14:cfRule>
          <xm:sqref>D6:D17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F6D6-A905-4624-BFC9-3068AE060FBD}">
  <dimension ref="A1:F16"/>
  <sheetViews>
    <sheetView workbookViewId="0">
      <selection activeCell="F17" sqref="F17"/>
    </sheetView>
  </sheetViews>
  <sheetFormatPr defaultRowHeight="14.5" x14ac:dyDescent="0.35"/>
  <cols>
    <col min="1" max="1" width="12.08984375" style="1" customWidth="1"/>
    <col min="2" max="2" width="29.08984375" style="1" customWidth="1"/>
    <col min="3" max="3" width="24" style="1" customWidth="1"/>
    <col min="4" max="4" width="18.90625" style="1" customWidth="1"/>
    <col min="5" max="5" width="20.6328125" style="1" customWidth="1"/>
    <col min="6" max="6" width="11.36328125" style="1" customWidth="1"/>
    <col min="7" max="16384" width="8.7265625" style="1"/>
  </cols>
  <sheetData>
    <row r="1" spans="1:6" x14ac:dyDescent="0.35">
      <c r="A1" s="39" t="s">
        <v>186</v>
      </c>
    </row>
    <row r="4" spans="1:6" x14ac:dyDescent="0.35">
      <c r="A4" s="18" t="s">
        <v>75</v>
      </c>
      <c r="B4" s="19" t="s">
        <v>51</v>
      </c>
      <c r="C4" s="19" t="s">
        <v>54</v>
      </c>
      <c r="D4" s="19" t="s">
        <v>56</v>
      </c>
      <c r="E4" s="19" t="s">
        <v>76</v>
      </c>
      <c r="F4" s="24" t="s">
        <v>77</v>
      </c>
    </row>
    <row r="5" spans="1:6" x14ac:dyDescent="0.35">
      <c r="A5" s="20" t="s">
        <v>12</v>
      </c>
      <c r="B5" s="21">
        <v>149.34358973333335</v>
      </c>
      <c r="C5" s="21">
        <v>144.48888890000001</v>
      </c>
      <c r="D5" s="21">
        <v>153.9</v>
      </c>
      <c r="E5" s="21">
        <v>149.24415954444444</v>
      </c>
      <c r="F5" s="25">
        <v>3.3999999999999998E-3</v>
      </c>
    </row>
    <row r="6" spans="1:6" x14ac:dyDescent="0.35">
      <c r="A6" s="20" t="s">
        <v>16</v>
      </c>
      <c r="B6" s="21">
        <v>147.1282051</v>
      </c>
      <c r="C6" s="21">
        <v>144.78333330000001</v>
      </c>
      <c r="D6" s="21">
        <v>154.80000000000001</v>
      </c>
      <c r="E6" s="21">
        <v>148.90384613333336</v>
      </c>
      <c r="F6" s="25">
        <v>-2.3E-3</v>
      </c>
    </row>
    <row r="7" spans="1:6" x14ac:dyDescent="0.35">
      <c r="A7" s="20" t="s">
        <v>17</v>
      </c>
      <c r="B7" s="21">
        <v>145.85897433333332</v>
      </c>
      <c r="C7" s="21">
        <v>145.20000003333334</v>
      </c>
      <c r="D7" s="21">
        <v>154.5</v>
      </c>
      <c r="E7" s="21">
        <v>148.51965812222224</v>
      </c>
      <c r="F7" s="25">
        <v>-2.5999999999999999E-3</v>
      </c>
    </row>
    <row r="8" spans="1:6" x14ac:dyDescent="0.35">
      <c r="A8" s="20" t="s">
        <v>18</v>
      </c>
      <c r="B8" s="21">
        <v>147.70303029999999</v>
      </c>
      <c r="C8" s="21">
        <v>149.93333333333334</v>
      </c>
      <c r="D8" s="21">
        <v>155.6</v>
      </c>
      <c r="E8" s="21">
        <v>151.07878787777778</v>
      </c>
      <c r="F8" s="25">
        <v>1.72E-2</v>
      </c>
    </row>
    <row r="9" spans="1:6" x14ac:dyDescent="0.35">
      <c r="A9" s="20" t="s">
        <v>19</v>
      </c>
      <c r="B9" s="21" t="s">
        <v>78</v>
      </c>
      <c r="C9" s="21" t="s">
        <v>78</v>
      </c>
      <c r="D9" s="21" t="s">
        <v>78</v>
      </c>
      <c r="E9" s="21" t="s">
        <v>78</v>
      </c>
      <c r="F9" s="25" t="s">
        <v>78</v>
      </c>
    </row>
    <row r="10" spans="1:6" x14ac:dyDescent="0.35">
      <c r="A10" s="20" t="s">
        <v>20</v>
      </c>
      <c r="B10" s="21">
        <v>151.61025643333332</v>
      </c>
      <c r="C10" s="21">
        <v>148.82222223333335</v>
      </c>
      <c r="D10" s="21">
        <v>154.69999999999999</v>
      </c>
      <c r="E10" s="21">
        <v>151.71082622222221</v>
      </c>
      <c r="F10" s="25">
        <v>4.1999999999999997E-3</v>
      </c>
    </row>
    <row r="11" spans="1:6" x14ac:dyDescent="0.35">
      <c r="A11" s="20" t="s">
        <v>21</v>
      </c>
      <c r="B11" s="21">
        <v>151.61025643333332</v>
      </c>
      <c r="C11" s="21">
        <v>148.82222223333335</v>
      </c>
      <c r="D11" s="21">
        <v>154.69999999999999</v>
      </c>
      <c r="E11" s="21">
        <v>151.71082622222221</v>
      </c>
      <c r="F11" s="25">
        <v>0</v>
      </c>
    </row>
    <row r="12" spans="1:6" x14ac:dyDescent="0.35">
      <c r="A12" s="20" t="s">
        <v>22</v>
      </c>
      <c r="B12" s="21">
        <v>153.81282053333334</v>
      </c>
      <c r="C12" s="21">
        <v>150.25</v>
      </c>
      <c r="D12" s="21">
        <v>155.5</v>
      </c>
      <c r="E12" s="21">
        <v>153.18760684444445</v>
      </c>
      <c r="F12" s="25">
        <v>9.7000000000000003E-3</v>
      </c>
    </row>
    <row r="13" spans="1:6" x14ac:dyDescent="0.35">
      <c r="A13" s="20" t="s">
        <v>23</v>
      </c>
      <c r="B13" s="21">
        <v>154.76923076666665</v>
      </c>
      <c r="C13" s="21">
        <v>151.33333330000002</v>
      </c>
      <c r="D13" s="21">
        <v>156.30000000000001</v>
      </c>
      <c r="E13" s="21">
        <v>154.13418802222222</v>
      </c>
      <c r="F13" s="25">
        <v>6.1999999999999998E-3</v>
      </c>
    </row>
    <row r="14" spans="1:6" x14ac:dyDescent="0.35">
      <c r="A14" s="20" t="s">
        <v>24</v>
      </c>
      <c r="B14" s="21">
        <v>157.94102563333334</v>
      </c>
      <c r="C14" s="21">
        <v>151.61111113333334</v>
      </c>
      <c r="D14" s="21">
        <v>156.5</v>
      </c>
      <c r="E14" s="21">
        <v>155.35071225555555</v>
      </c>
      <c r="F14" s="25">
        <v>7.9000000000000008E-3</v>
      </c>
    </row>
    <row r="15" spans="1:6" x14ac:dyDescent="0.35">
      <c r="A15" s="20" t="s">
        <v>26</v>
      </c>
      <c r="B15" s="21">
        <v>161.50512819999997</v>
      </c>
      <c r="C15" s="21">
        <v>152.06111109999998</v>
      </c>
      <c r="D15" s="21">
        <v>158</v>
      </c>
      <c r="E15" s="21">
        <v>157.18874643333331</v>
      </c>
      <c r="F15" s="25">
        <v>1.18E-2</v>
      </c>
    </row>
    <row r="16" spans="1:6" x14ac:dyDescent="0.35">
      <c r="A16" s="20" t="s">
        <v>27</v>
      </c>
      <c r="B16" s="21">
        <v>162.43589743333334</v>
      </c>
      <c r="C16" s="21">
        <v>152.56666666666669</v>
      </c>
      <c r="D16" s="21">
        <v>158.4</v>
      </c>
      <c r="E16" s="21">
        <v>157.80085470000003</v>
      </c>
      <c r="F16" s="25">
        <v>3.8999999999999998E-3</v>
      </c>
    </row>
  </sheetData>
  <conditionalFormatting sqref="B5:B16">
    <cfRule type="colorScale" priority="6">
      <colorScale>
        <cfvo type="min"/>
        <cfvo type="percentile" val="50"/>
        <cfvo type="max"/>
        <color rgb="FF63BE7B"/>
        <color rgb="FFFFEB84"/>
        <color rgb="FFF8696B"/>
      </colorScale>
    </cfRule>
  </conditionalFormatting>
  <conditionalFormatting sqref="C5:C16">
    <cfRule type="colorScale" priority="7">
      <colorScale>
        <cfvo type="min"/>
        <cfvo type="percentile" val="50"/>
        <cfvo type="max"/>
        <color rgb="FF63BE7B"/>
        <color rgb="FFFFEB84"/>
        <color rgb="FFF8696B"/>
      </colorScale>
    </cfRule>
  </conditionalFormatting>
  <conditionalFormatting sqref="D5:D16">
    <cfRule type="colorScale" priority="8">
      <colorScale>
        <cfvo type="min"/>
        <cfvo type="percentile" val="50"/>
        <cfvo type="max"/>
        <color rgb="FF63BE7B"/>
        <color rgb="FFFFEB84"/>
        <color rgb="FFF8696B"/>
      </colorScale>
    </cfRule>
  </conditionalFormatting>
  <conditionalFormatting sqref="E5:E16">
    <cfRule type="colorScale" priority="9">
      <colorScale>
        <cfvo type="min"/>
        <cfvo type="percentile" val="50"/>
        <cfvo type="max"/>
        <color rgb="FF63BE7B"/>
        <color rgb="FFFFEB84"/>
        <color rgb="FFF8696B"/>
      </colorScale>
    </cfRule>
  </conditionalFormatting>
  <conditionalFormatting sqref="F5:F16">
    <cfRule type="colorScale" priority="10">
      <colorScale>
        <cfvo type="min"/>
        <cfvo type="percentile" val="50"/>
        <cfvo type="max"/>
        <color rgb="FF63BE7B"/>
        <color rgb="FFFFEB84"/>
        <color rgb="FFF8696B"/>
      </colorScale>
    </cfRule>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A9BE-E8E7-46DE-B2F6-08E3E21A227F}">
  <dimension ref="A1:I38"/>
  <sheetViews>
    <sheetView topLeftCell="A21" workbookViewId="0">
      <selection activeCell="B24" sqref="B24"/>
    </sheetView>
  </sheetViews>
  <sheetFormatPr defaultRowHeight="14.5" x14ac:dyDescent="0.35"/>
  <cols>
    <col min="1" max="1" width="31.6328125" style="1" customWidth="1"/>
    <col min="2" max="2" width="29.08984375" style="1" customWidth="1"/>
    <col min="3" max="3" width="24" style="1" customWidth="1"/>
    <col min="4" max="4" width="37.26953125" style="1" customWidth="1"/>
    <col min="5" max="5" width="23.36328125" style="1" customWidth="1"/>
    <col min="6" max="6" width="18.90625" style="1" customWidth="1"/>
    <col min="7" max="7" width="31.36328125" style="1" customWidth="1"/>
    <col min="8" max="8" width="36.26953125" style="1" customWidth="1"/>
    <col min="9" max="9" width="18.6328125" style="1" customWidth="1"/>
    <col min="10" max="16384" width="8.7265625" style="1"/>
  </cols>
  <sheetData>
    <row r="1" spans="1:9" x14ac:dyDescent="0.35">
      <c r="A1" s="39" t="s">
        <v>187</v>
      </c>
    </row>
    <row r="3" spans="1:9" ht="17" x14ac:dyDescent="0.5">
      <c r="A3" s="26" t="s">
        <v>95</v>
      </c>
    </row>
    <row r="5" spans="1:9" x14ac:dyDescent="0.35">
      <c r="A5" s="18" t="s">
        <v>75</v>
      </c>
      <c r="B5" s="19" t="s">
        <v>51</v>
      </c>
      <c r="C5" s="19" t="s">
        <v>54</v>
      </c>
      <c r="D5" s="19" t="s">
        <v>53</v>
      </c>
      <c r="E5" s="19" t="s">
        <v>55</v>
      </c>
      <c r="F5" s="19" t="s">
        <v>56</v>
      </c>
      <c r="G5" s="19" t="s">
        <v>57</v>
      </c>
      <c r="H5" s="19" t="s">
        <v>52</v>
      </c>
      <c r="I5" s="11" t="s">
        <v>88</v>
      </c>
    </row>
    <row r="6" spans="1:9" x14ac:dyDescent="0.35">
      <c r="A6" s="20" t="s">
        <v>12</v>
      </c>
      <c r="B6" s="21">
        <v>167.77094016666669</v>
      </c>
      <c r="C6" s="21">
        <v>163.33703702222223</v>
      </c>
      <c r="D6" s="21">
        <v>161.16666666666669</v>
      </c>
      <c r="E6" s="21">
        <v>164.28888888888892</v>
      </c>
      <c r="F6" s="21">
        <v>164.76666666666668</v>
      </c>
      <c r="G6" s="21">
        <v>166.03703704444445</v>
      </c>
      <c r="H6" s="21">
        <v>193.21111111111108</v>
      </c>
      <c r="I6" s="29">
        <v>71.13</v>
      </c>
    </row>
    <row r="7" spans="1:9" x14ac:dyDescent="0.35">
      <c r="A7" s="20" t="s">
        <v>16</v>
      </c>
      <c r="B7" s="21">
        <v>166.44188034444446</v>
      </c>
      <c r="C7" s="21">
        <v>164.48518517777777</v>
      </c>
      <c r="D7" s="21">
        <v>162.12222222222221</v>
      </c>
      <c r="E7" s="21">
        <v>166.50000000000003</v>
      </c>
      <c r="F7" s="21">
        <v>166.26666666666665</v>
      </c>
      <c r="G7" s="21">
        <v>167.37777777777777</v>
      </c>
      <c r="H7" s="21">
        <v>194.37777777777777</v>
      </c>
      <c r="I7" s="29">
        <v>74.7</v>
      </c>
    </row>
    <row r="8" spans="1:9" x14ac:dyDescent="0.35">
      <c r="A8" s="20" t="s">
        <v>17</v>
      </c>
      <c r="B8" s="21">
        <v>166.98803417777779</v>
      </c>
      <c r="C8" s="21">
        <v>164.9925925888889</v>
      </c>
      <c r="D8" s="21">
        <v>162.56666666666666</v>
      </c>
      <c r="E8" s="21">
        <v>168.08888888888887</v>
      </c>
      <c r="F8" s="21">
        <v>166.23333333333332</v>
      </c>
      <c r="G8" s="21">
        <v>168.12592592222222</v>
      </c>
      <c r="H8" s="21">
        <v>194.64444444444442</v>
      </c>
      <c r="I8" s="29">
        <v>81.86666666666666</v>
      </c>
    </row>
    <row r="9" spans="1:9" x14ac:dyDescent="0.35">
      <c r="A9" s="20" t="s">
        <v>18</v>
      </c>
      <c r="B9" s="21">
        <v>168.6837606777778</v>
      </c>
      <c r="C9" s="21">
        <v>166.20925925555554</v>
      </c>
      <c r="D9" s="21">
        <v>163.29999999999998</v>
      </c>
      <c r="E9" s="21">
        <v>169.75555555555556</v>
      </c>
      <c r="F9" s="21">
        <v>167.86666666666665</v>
      </c>
      <c r="G9" s="21">
        <v>169.20740742222222</v>
      </c>
      <c r="H9" s="21">
        <v>195.26666666666668</v>
      </c>
      <c r="I9" s="29">
        <v>84.766666666666666</v>
      </c>
    </row>
    <row r="10" spans="1:9" x14ac:dyDescent="0.35">
      <c r="A10" s="20" t="s">
        <v>19</v>
      </c>
      <c r="B10" s="21">
        <v>170.82307692222221</v>
      </c>
      <c r="C10" s="21">
        <v>167.43518518888885</v>
      </c>
      <c r="D10" s="21">
        <v>164.87777777777777</v>
      </c>
      <c r="E10" s="21">
        <v>172.07777777777781</v>
      </c>
      <c r="F10" s="21">
        <v>168.23333333333335</v>
      </c>
      <c r="G10" s="21">
        <v>170.92962964444445</v>
      </c>
      <c r="H10" s="21">
        <v>196.5888888888889</v>
      </c>
      <c r="I10" s="29">
        <v>88.866666666666674</v>
      </c>
    </row>
    <row r="11" spans="1:9" x14ac:dyDescent="0.35">
      <c r="A11" s="20" t="s">
        <v>20</v>
      </c>
      <c r="B11" s="21">
        <v>169.33846153333332</v>
      </c>
      <c r="C11" s="21">
        <v>163.19999998333333</v>
      </c>
      <c r="D11" s="21">
        <v>160.43333333333337</v>
      </c>
      <c r="E11" s="21">
        <v>167.6</v>
      </c>
      <c r="F11" s="21">
        <v>163.65</v>
      </c>
      <c r="G11" s="21">
        <v>165.46111110000001</v>
      </c>
      <c r="H11" s="21">
        <v>193.5</v>
      </c>
      <c r="I11" s="29">
        <v>92.333333333333329</v>
      </c>
    </row>
    <row r="12" spans="1:9" x14ac:dyDescent="0.35">
      <c r="A12" s="20" t="s">
        <v>21</v>
      </c>
      <c r="B12" s="21">
        <v>170.02051283333333</v>
      </c>
      <c r="C12" s="21">
        <v>164.28055556666666</v>
      </c>
      <c r="D12" s="21">
        <v>161.43333333333331</v>
      </c>
      <c r="E12" s="21">
        <v>169.93333333333337</v>
      </c>
      <c r="F12" s="21">
        <v>164.65</v>
      </c>
      <c r="G12" s="21">
        <v>166.54999998333332</v>
      </c>
      <c r="H12" s="21">
        <v>193.79999999999998</v>
      </c>
      <c r="I12" s="29">
        <v>96.59999999999998</v>
      </c>
    </row>
    <row r="13" spans="1:9" x14ac:dyDescent="0.35">
      <c r="A13" s="20" t="s">
        <v>22</v>
      </c>
      <c r="B13" s="21">
        <v>169.86410256666665</v>
      </c>
      <c r="C13" s="21">
        <v>165.07499999999999</v>
      </c>
      <c r="D13" s="21">
        <v>162.76666666666668</v>
      </c>
      <c r="E13" s="21">
        <v>170.45000000000002</v>
      </c>
      <c r="F13" s="21">
        <v>165.55</v>
      </c>
      <c r="G13" s="21">
        <v>167.97222221666667</v>
      </c>
      <c r="H13" s="21">
        <v>194.36666666666667</v>
      </c>
      <c r="I13" s="29">
        <v>95.583333333333329</v>
      </c>
    </row>
    <row r="14" spans="1:9" x14ac:dyDescent="0.35">
      <c r="A14" s="20" t="s">
        <v>23</v>
      </c>
      <c r="B14" s="21">
        <v>170.36666666666667</v>
      </c>
      <c r="C14" s="21">
        <v>165.45277776666666</v>
      </c>
      <c r="D14" s="21">
        <v>163.36666666666667</v>
      </c>
      <c r="E14" s="21">
        <v>170.91666666666666</v>
      </c>
      <c r="F14" s="21">
        <v>165.8</v>
      </c>
      <c r="G14" s="21">
        <v>168.87222223333336</v>
      </c>
      <c r="H14" s="21">
        <v>194.86666666666667</v>
      </c>
      <c r="I14" s="29">
        <v>93.36666666666666</v>
      </c>
    </row>
    <row r="15" spans="1:9" x14ac:dyDescent="0.35">
      <c r="A15" s="20" t="s">
        <v>24</v>
      </c>
      <c r="B15" s="21">
        <v>172.33589741666665</v>
      </c>
      <c r="C15" s="21">
        <v>166.25000001666666</v>
      </c>
      <c r="D15" s="21">
        <v>164.25</v>
      </c>
      <c r="E15" s="21">
        <v>172.20000000000002</v>
      </c>
      <c r="F15" s="21">
        <v>167.4</v>
      </c>
      <c r="G15" s="21">
        <v>169.89444445000001</v>
      </c>
      <c r="H15" s="21">
        <v>195.36666666666667</v>
      </c>
      <c r="I15" s="29">
        <v>89.666666666666671</v>
      </c>
    </row>
    <row r="16" spans="1:9" x14ac:dyDescent="0.35">
      <c r="A16" s="20" t="s">
        <v>26</v>
      </c>
      <c r="B16" s="21">
        <v>172.98589743333332</v>
      </c>
      <c r="C16" s="21">
        <v>166.85277780000001</v>
      </c>
      <c r="D16" s="21">
        <v>165.2</v>
      </c>
      <c r="E16" s="21">
        <v>172.38333333333333</v>
      </c>
      <c r="F16" s="21">
        <v>168</v>
      </c>
      <c r="G16" s="21">
        <v>171.08333333333334</v>
      </c>
      <c r="H16" s="21">
        <v>195.71666666666667</v>
      </c>
      <c r="I16" s="29">
        <v>84.533333333333317</v>
      </c>
    </row>
    <row r="17" spans="1:9" x14ac:dyDescent="0.35">
      <c r="A17" s="22" t="s">
        <v>27</v>
      </c>
      <c r="B17" s="23">
        <v>171.94487180000002</v>
      </c>
      <c r="C17" s="23">
        <v>167.61944444999997</v>
      </c>
      <c r="D17" s="23">
        <v>165.98333333333332</v>
      </c>
      <c r="E17" s="23">
        <v>172.79999999999998</v>
      </c>
      <c r="F17" s="23">
        <v>167.04999999999998</v>
      </c>
      <c r="G17" s="23">
        <v>172.1611111</v>
      </c>
      <c r="H17" s="23">
        <v>195.71666666666667</v>
      </c>
      <c r="I17" s="30">
        <v>81.910000000000011</v>
      </c>
    </row>
    <row r="20" spans="1:9" x14ac:dyDescent="0.35">
      <c r="A20" s="18" t="s">
        <v>58</v>
      </c>
      <c r="B20" s="11" t="s">
        <v>82</v>
      </c>
      <c r="C20" s="19" t="s">
        <v>94</v>
      </c>
    </row>
    <row r="21" spans="1:9" x14ac:dyDescent="0.35">
      <c r="A21" s="20" t="s">
        <v>3</v>
      </c>
      <c r="B21" s="29">
        <f>CORREL(Table9[Average of Food And Beverages],Table9[Oil Price (USD/BBL)])</f>
        <v>0.46013809704700992</v>
      </c>
      <c r="C21" s="12" t="s">
        <v>89</v>
      </c>
    </row>
    <row r="22" spans="1:9" x14ac:dyDescent="0.35">
      <c r="A22" s="20" t="s">
        <v>9</v>
      </c>
      <c r="B22" s="29">
        <f>CORREL(Table9[Average of Miscellaneous],Table9[Oil Price (USD/BBL)])</f>
        <v>8.3054448542851114E-2</v>
      </c>
      <c r="C22" s="12" t="s">
        <v>90</v>
      </c>
    </row>
    <row r="23" spans="1:9" x14ac:dyDescent="0.35">
      <c r="A23" s="20" t="s">
        <v>79</v>
      </c>
      <c r="B23" s="29">
        <f>CORREL(Table9[Average of Household goods and services],Table9[Oil Price (USD/BBL)])</f>
        <v>2.2263500745598945E-3</v>
      </c>
      <c r="C23" s="12" t="s">
        <v>91</v>
      </c>
    </row>
    <row r="24" spans="1:9" x14ac:dyDescent="0.35">
      <c r="A24" s="20" t="s">
        <v>80</v>
      </c>
      <c r="B24" s="29">
        <f>CORREL(Table9[Average of Fuel and light],Table9[Oil Price (USD/BBL)])</f>
        <v>0.54692569724343032</v>
      </c>
      <c r="C24" s="12" t="s">
        <v>92</v>
      </c>
    </row>
    <row r="25" spans="1:9" x14ac:dyDescent="0.35">
      <c r="A25" s="20" t="s">
        <v>6</v>
      </c>
      <c r="B25" s="29">
        <f>CORREL(Table9[Average of Housing],Table9[Oil Price (USD/BBL)])</f>
        <v>-0.15113248631616555</v>
      </c>
      <c r="C25" s="12" t="s">
        <v>93</v>
      </c>
    </row>
    <row r="26" spans="1:9" x14ac:dyDescent="0.35">
      <c r="A26" s="20" t="s">
        <v>5</v>
      </c>
      <c r="B26" s="29">
        <f>CORREL(Table9[Average of Clothing And Footwear],Table9[Oil Price (USD/BBL)])</f>
        <v>3.2171829607203915E-3</v>
      </c>
      <c r="C26" s="12" t="s">
        <v>91</v>
      </c>
    </row>
    <row r="27" spans="1:9" x14ac:dyDescent="0.35">
      <c r="A27" s="22" t="s">
        <v>81</v>
      </c>
      <c r="B27" s="30">
        <f>CORREL(Table9[Average of Pan, tobacco and intoxicants],Table9[Oil Price (USD/BBL)])</f>
        <v>9.2191979023755782E-2</v>
      </c>
      <c r="C27" s="12" t="s">
        <v>90</v>
      </c>
    </row>
    <row r="30" spans="1:9" x14ac:dyDescent="0.35">
      <c r="A30" s="27" t="s">
        <v>83</v>
      </c>
    </row>
    <row r="31" spans="1:9" x14ac:dyDescent="0.35">
      <c r="A31" s="28"/>
    </row>
    <row r="32" spans="1:9" x14ac:dyDescent="0.35">
      <c r="A32" s="27" t="s">
        <v>84</v>
      </c>
    </row>
    <row r="33" spans="1:1" x14ac:dyDescent="0.35">
      <c r="A33" s="28"/>
    </row>
    <row r="34" spans="1:1" x14ac:dyDescent="0.35">
      <c r="A34" s="27" t="s">
        <v>85</v>
      </c>
    </row>
    <row r="35" spans="1:1" x14ac:dyDescent="0.35">
      <c r="A35" s="28"/>
    </row>
    <row r="36" spans="1:1" x14ac:dyDescent="0.35">
      <c r="A36" s="27" t="s">
        <v>86</v>
      </c>
    </row>
    <row r="37" spans="1:1" x14ac:dyDescent="0.35">
      <c r="A37" s="28"/>
    </row>
    <row r="38" spans="1:1" x14ac:dyDescent="0.35">
      <c r="A38" s="27" t="s">
        <v>87</v>
      </c>
    </row>
  </sheetData>
  <conditionalFormatting sqref="B21:B27">
    <cfRule type="colorScale" priority="1">
      <colorScale>
        <cfvo type="min"/>
        <cfvo type="percentile" val="50"/>
        <cfvo type="max"/>
        <color rgb="FFF8696B"/>
        <color rgb="FFFFEB84"/>
        <color rgb="FF63BE7B"/>
      </colorScale>
    </cfRule>
  </conditionalFormatting>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9F50-885D-4A36-A91D-971842474B60}">
  <dimension ref="A1:B59"/>
  <sheetViews>
    <sheetView tabSelected="1" topLeftCell="A41" workbookViewId="0">
      <selection activeCell="A51" sqref="A51"/>
    </sheetView>
  </sheetViews>
  <sheetFormatPr defaultRowHeight="14.5" x14ac:dyDescent="0.35"/>
  <cols>
    <col min="1" max="1" width="19.6328125" style="12" bestFit="1" customWidth="1"/>
    <col min="2" max="2" width="75.08984375" style="12" bestFit="1" customWidth="1"/>
    <col min="3" max="16384" width="8.7265625" style="12"/>
  </cols>
  <sheetData>
    <row r="1" spans="1:2" x14ac:dyDescent="0.35">
      <c r="A1" s="12" t="s">
        <v>104</v>
      </c>
    </row>
    <row r="4" spans="1:2" x14ac:dyDescent="0.35">
      <c r="A4" s="31" t="s">
        <v>96</v>
      </c>
      <c r="B4" s="31" t="s">
        <v>97</v>
      </c>
    </row>
    <row r="5" spans="1:2" x14ac:dyDescent="0.35">
      <c r="A5" s="21" t="s">
        <v>98</v>
      </c>
      <c r="B5" s="21" t="s">
        <v>99</v>
      </c>
    </row>
    <row r="6" spans="1:2" x14ac:dyDescent="0.35">
      <c r="A6" s="21" t="s">
        <v>100</v>
      </c>
      <c r="B6" s="21" t="s">
        <v>102</v>
      </c>
    </row>
    <row r="7" spans="1:2" x14ac:dyDescent="0.35">
      <c r="A7" s="21" t="s">
        <v>101</v>
      </c>
      <c r="B7" s="21" t="s">
        <v>103</v>
      </c>
    </row>
    <row r="10" spans="1:2" x14ac:dyDescent="0.35">
      <c r="A10" s="12" t="s">
        <v>105</v>
      </c>
    </row>
    <row r="12" spans="1:2" x14ac:dyDescent="0.35">
      <c r="A12" s="12" t="s">
        <v>129</v>
      </c>
    </row>
    <row r="13" spans="1:2" x14ac:dyDescent="0.35">
      <c r="A13" s="12" t="s">
        <v>106</v>
      </c>
    </row>
    <row r="14" spans="1:2" x14ac:dyDescent="0.35">
      <c r="A14" s="12" t="s">
        <v>107</v>
      </c>
    </row>
    <row r="15" spans="1:2" x14ac:dyDescent="0.35">
      <c r="A15" s="12" t="s">
        <v>108</v>
      </c>
    </row>
    <row r="16" spans="1:2" x14ac:dyDescent="0.35">
      <c r="A16" s="12" t="s">
        <v>109</v>
      </c>
    </row>
    <row r="17" spans="1:1" x14ac:dyDescent="0.35">
      <c r="A17" s="12" t="s">
        <v>110</v>
      </c>
    </row>
    <row r="18" spans="1:1" x14ac:dyDescent="0.35">
      <c r="A18" s="12" t="s">
        <v>45</v>
      </c>
    </row>
    <row r="19" spans="1:1" x14ac:dyDescent="0.35">
      <c r="A19" s="12" t="s">
        <v>44</v>
      </c>
    </row>
    <row r="20" spans="1:1" x14ac:dyDescent="0.35">
      <c r="A20" s="12" t="s">
        <v>111</v>
      </c>
    </row>
    <row r="21" spans="1:1" x14ac:dyDescent="0.35">
      <c r="A21" s="12" t="s">
        <v>112</v>
      </c>
    </row>
    <row r="22" spans="1:1" x14ac:dyDescent="0.35">
      <c r="A22" s="12" t="s">
        <v>40</v>
      </c>
    </row>
    <row r="23" spans="1:1" x14ac:dyDescent="0.35">
      <c r="A23" s="12" t="s">
        <v>113</v>
      </c>
    </row>
    <row r="25" spans="1:1" x14ac:dyDescent="0.35">
      <c r="A25" s="12" t="s">
        <v>130</v>
      </c>
    </row>
    <row r="26" spans="1:1" x14ac:dyDescent="0.35">
      <c r="A26" s="12" t="s">
        <v>114</v>
      </c>
    </row>
    <row r="27" spans="1:1" x14ac:dyDescent="0.35">
      <c r="A27" s="12" t="s">
        <v>115</v>
      </c>
    </row>
    <row r="28" spans="1:1" x14ac:dyDescent="0.35">
      <c r="A28" s="12" t="s">
        <v>116</v>
      </c>
    </row>
    <row r="30" spans="1:1" x14ac:dyDescent="0.35">
      <c r="A30" s="12" t="s">
        <v>131</v>
      </c>
    </row>
    <row r="31" spans="1:1" x14ac:dyDescent="0.35">
      <c r="A31" s="12" t="s">
        <v>37</v>
      </c>
    </row>
    <row r="32" spans="1:1" x14ac:dyDescent="0.35">
      <c r="A32" s="12" t="s">
        <v>36</v>
      </c>
    </row>
    <row r="34" spans="1:1" x14ac:dyDescent="0.35">
      <c r="A34" s="12" t="s">
        <v>132</v>
      </c>
    </row>
    <row r="35" spans="1:1" x14ac:dyDescent="0.35">
      <c r="A35" s="12" t="s">
        <v>117</v>
      </c>
    </row>
    <row r="36" spans="1:1" x14ac:dyDescent="0.35">
      <c r="A36" s="12" t="s">
        <v>118</v>
      </c>
    </row>
    <row r="37" spans="1:1" x14ac:dyDescent="0.35">
      <c r="A37" s="12" t="s">
        <v>119</v>
      </c>
    </row>
    <row r="39" spans="1:1" x14ac:dyDescent="0.35">
      <c r="A39" s="12" t="s">
        <v>133</v>
      </c>
    </row>
    <row r="40" spans="1:1" x14ac:dyDescent="0.35">
      <c r="A40" s="12" t="s">
        <v>120</v>
      </c>
    </row>
    <row r="41" spans="1:1" x14ac:dyDescent="0.35">
      <c r="A41" s="12" t="s">
        <v>121</v>
      </c>
    </row>
    <row r="42" spans="1:1" x14ac:dyDescent="0.35">
      <c r="A42" s="12" t="s">
        <v>122</v>
      </c>
    </row>
    <row r="44" spans="1:1" x14ac:dyDescent="0.35">
      <c r="A44" s="12" t="s">
        <v>191</v>
      </c>
    </row>
    <row r="45" spans="1:1" x14ac:dyDescent="0.35">
      <c r="A45" s="12" t="s">
        <v>192</v>
      </c>
    </row>
    <row r="46" spans="1:1" x14ac:dyDescent="0.35">
      <c r="A46" s="12" t="s">
        <v>193</v>
      </c>
    </row>
    <row r="47" spans="1:1" x14ac:dyDescent="0.35">
      <c r="A47" s="12" t="s">
        <v>194</v>
      </c>
    </row>
    <row r="48" spans="1:1" x14ac:dyDescent="0.35">
      <c r="A48" s="12" t="s">
        <v>195</v>
      </c>
    </row>
    <row r="50" spans="1:1" x14ac:dyDescent="0.35">
      <c r="A50" s="12" t="s">
        <v>197</v>
      </c>
    </row>
    <row r="51" spans="1:1" x14ac:dyDescent="0.35">
      <c r="A51" s="12" t="s">
        <v>123</v>
      </c>
    </row>
    <row r="52" spans="1:1" x14ac:dyDescent="0.35">
      <c r="A52" s="12" t="s">
        <v>34</v>
      </c>
    </row>
    <row r="53" spans="1:1" x14ac:dyDescent="0.35">
      <c r="A53" s="12" t="s">
        <v>124</v>
      </c>
    </row>
    <row r="54" spans="1:1" x14ac:dyDescent="0.35">
      <c r="A54" s="12" t="s">
        <v>125</v>
      </c>
    </row>
    <row r="55" spans="1:1" x14ac:dyDescent="0.35">
      <c r="A55" s="12" t="s">
        <v>31</v>
      </c>
    </row>
    <row r="56" spans="1:1" x14ac:dyDescent="0.35">
      <c r="A56" s="12" t="s">
        <v>126</v>
      </c>
    </row>
    <row r="57" spans="1:1" x14ac:dyDescent="0.35">
      <c r="A57" s="12" t="s">
        <v>127</v>
      </c>
    </row>
    <row r="58" spans="1:1" x14ac:dyDescent="0.35">
      <c r="A58" s="12" t="s">
        <v>128</v>
      </c>
    </row>
    <row r="59" spans="1:1" x14ac:dyDescent="0.35">
      <c r="A59" s="12"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Problem Statement</vt:lpstr>
      <vt:lpstr>Given CPI Data</vt:lpstr>
      <vt:lpstr>BROADER INDEX</vt:lpstr>
      <vt:lpstr>Problem 1</vt:lpstr>
      <vt:lpstr>Problem 2</vt:lpstr>
      <vt:lpstr>Problem 3</vt:lpstr>
      <vt:lpstr>Problem 4</vt:lpstr>
      <vt:lpstr>Problem 5</vt:lpstr>
      <vt:lpstr>Formulas 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Nadar</dc:creator>
  <cp:lastModifiedBy>Arjun Nadar</cp:lastModifiedBy>
  <dcterms:created xsi:type="dcterms:W3CDTF">2025-09-14T06:17:25Z</dcterms:created>
  <dcterms:modified xsi:type="dcterms:W3CDTF">2025-10-23T15:19:45Z</dcterms:modified>
</cp:coreProperties>
</file>